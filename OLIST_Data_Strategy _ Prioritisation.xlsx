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G:\My Drive\Upgrad\CAP Project\Final Submission\"/>
    </mc:Choice>
  </mc:AlternateContent>
  <xr:revisionPtr revIDLastSave="0" documentId="13_ncr:1_{26BE853E-1896-47B3-A19E-7A86DEE659A8}" xr6:coauthVersionLast="47" xr6:coauthVersionMax="47" xr10:uidLastSave="{00000000-0000-0000-0000-000000000000}"/>
  <bookViews>
    <workbookView xWindow="-110" yWindow="-110" windowWidth="19420" windowHeight="12420" firstSheet="3" activeTab="5" xr2:uid="{00000000-000D-0000-FFFF-FFFF00000000}"/>
  </bookViews>
  <sheets>
    <sheet name="Start" sheetId="1" r:id="rId1"/>
    <sheet name="1. Identify Business problems " sheetId="2" r:id="rId2"/>
    <sheet name="2. Feasibility Check" sheetId="3" r:id="rId3"/>
    <sheet name="3. Complexity Rating" sheetId="4" r:id="rId4"/>
    <sheet name="4. Strategic Value" sheetId="5" r:id="rId5"/>
    <sheet name="5. Business Value" sheetId="6" r:id="rId6"/>
    <sheet name="Summ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6" l="1"/>
  <c r="P24" i="6" s="1"/>
  <c r="Q24" i="6" s="1"/>
  <c r="J14" i="7"/>
  <c r="E89" i="6"/>
  <c r="E70" i="6"/>
  <c r="E50" i="6"/>
  <c r="E32" i="6"/>
  <c r="E14" i="6"/>
  <c r="O12" i="7"/>
  <c r="N12" i="7"/>
  <c r="O13" i="7"/>
  <c r="N13" i="7"/>
  <c r="C51" i="4"/>
  <c r="O11" i="7"/>
  <c r="N11" i="7"/>
  <c r="C82" i="5"/>
  <c r="C69" i="5"/>
  <c r="C56" i="5"/>
  <c r="C44" i="5"/>
  <c r="C107" i="4"/>
  <c r="C88" i="4"/>
  <c r="C70" i="4"/>
  <c r="D148" i="3"/>
  <c r="D142" i="3"/>
  <c r="D123" i="3"/>
  <c r="D117" i="3"/>
  <c r="D99" i="3"/>
  <c r="D93" i="3"/>
  <c r="D101" i="3" s="1"/>
  <c r="B14" i="7"/>
  <c r="M14" i="7" s="1"/>
  <c r="M13" i="7"/>
  <c r="L13" i="7"/>
  <c r="K13" i="7"/>
  <c r="J13" i="7"/>
  <c r="M12" i="7"/>
  <c r="L12" i="7"/>
  <c r="K12" i="7"/>
  <c r="J12" i="7"/>
  <c r="M11" i="7"/>
  <c r="L11" i="7"/>
  <c r="K11" i="7"/>
  <c r="J11" i="7"/>
  <c r="B3" i="6"/>
  <c r="C31" i="5"/>
  <c r="C16" i="5"/>
  <c r="B3" i="5"/>
  <c r="C32" i="4"/>
  <c r="C14" i="4"/>
  <c r="B3" i="4"/>
  <c r="D74" i="3"/>
  <c r="D68" i="3"/>
  <c r="D47" i="3"/>
  <c r="D41" i="3"/>
  <c r="D20" i="3"/>
  <c r="D14" i="3"/>
  <c r="P21" i="6" l="1"/>
  <c r="Q21" i="6" s="1"/>
  <c r="O22" i="6"/>
  <c r="O23" i="6" s="1"/>
  <c r="D22" i="3"/>
  <c r="M15" i="7"/>
  <c r="D150" i="3"/>
  <c r="D125" i="3"/>
  <c r="D76" i="3"/>
  <c r="D49" i="3"/>
  <c r="N14" i="7"/>
  <c r="N15" i="7" s="1"/>
  <c r="O14" i="7"/>
  <c r="O15" i="7" s="1"/>
  <c r="J15" i="7"/>
  <c r="K14" i="7"/>
  <c r="K15" i="7" s="1"/>
  <c r="L14" i="7"/>
  <c r="L15" i="7" s="1"/>
</calcChain>
</file>

<file path=xl/sharedStrings.xml><?xml version="1.0" encoding="utf-8"?>
<sst xmlns="http://schemas.openxmlformats.org/spreadsheetml/2006/main" count="939" uniqueCount="297">
  <si>
    <t xml:space="preserve">Instructions </t>
  </si>
  <si>
    <r>
      <rPr>
        <sz val="12"/>
        <color rgb="FF000000"/>
        <rFont val="Arial"/>
      </rPr>
      <t xml:space="preserve">1. Welcome to the project! This </t>
    </r>
    <r>
      <rPr>
        <sz val="12"/>
        <color rgb="FF000000"/>
        <rFont val="Arial"/>
      </rPr>
      <t>G</t>
    </r>
    <r>
      <rPr>
        <sz val="12"/>
        <color rgb="FF000000"/>
        <rFont val="Arial"/>
      </rPr>
      <t xml:space="preserve">oogle sheet is meant to </t>
    </r>
    <r>
      <rPr>
        <sz val="12"/>
        <color rgb="FF000000"/>
        <rFont val="Arial"/>
      </rPr>
      <t>guide you in assessing</t>
    </r>
    <r>
      <rPr>
        <sz val="12"/>
        <color rgb="FF000000"/>
        <rFont val="Arial"/>
      </rPr>
      <t xml:space="preserve"> individual use cases. You can create duplicates of each step for accessing multiple use cases in the same sheet. </t>
    </r>
  </si>
  <si>
    <r>
      <rPr>
        <sz val="12"/>
        <color rgb="FF000000"/>
        <rFont val="Arial"/>
      </rPr>
      <t xml:space="preserve">2. You need to work on each tab in the order they appear from </t>
    </r>
    <r>
      <rPr>
        <sz val="12"/>
        <color rgb="FF000000"/>
        <rFont val="Arial"/>
      </rPr>
      <t xml:space="preserve">the </t>
    </r>
    <r>
      <rPr>
        <sz val="12"/>
        <color rgb="FF000000"/>
        <rFont val="Arial"/>
      </rPr>
      <t xml:space="preserve">left to </t>
    </r>
    <r>
      <rPr>
        <sz val="12"/>
        <color rgb="FF000000"/>
        <rFont val="Arial"/>
      </rPr>
      <t xml:space="preserve">the </t>
    </r>
    <r>
      <rPr>
        <sz val="12"/>
        <color rgb="FF000000"/>
        <rFont val="Arial"/>
      </rPr>
      <t>right</t>
    </r>
    <r>
      <rPr>
        <sz val="12"/>
        <color rgb="FF000000"/>
        <rFont val="Arial"/>
      </rPr>
      <t>.</t>
    </r>
    <r>
      <rPr>
        <sz val="12"/>
        <color rgb="FF000000"/>
        <rFont val="Arial"/>
      </rPr>
      <t xml:space="preserve"> In the last step</t>
    </r>
    <r>
      <rPr>
        <sz val="12"/>
        <color rgb="FF000000"/>
        <rFont val="Arial"/>
      </rPr>
      <t>,</t>
    </r>
    <r>
      <rPr>
        <sz val="12"/>
        <color rgb="FF000000"/>
        <rFont val="Arial"/>
      </rPr>
      <t xml:space="preserve"> objectively prioritise use cases.</t>
    </r>
  </si>
  <si>
    <r>
      <rPr>
        <sz val="12"/>
        <color rgb="FF000000"/>
        <rFont val="Arial"/>
      </rPr>
      <t xml:space="preserve">3. </t>
    </r>
    <r>
      <rPr>
        <sz val="12"/>
        <color rgb="FF000000"/>
        <rFont val="Arial"/>
      </rPr>
      <t xml:space="preserve">A lot of cells contain formulas </t>
    </r>
    <r>
      <rPr>
        <sz val="12"/>
        <color rgb="FF000000"/>
        <rFont val="Arial"/>
      </rPr>
      <t>throughout this document. Please be careful to not change them.</t>
    </r>
  </si>
  <si>
    <t xml:space="preserve">4. This sheet will be a part your submission at the end of the project. </t>
  </si>
  <si>
    <t>All the best! :)</t>
  </si>
  <si>
    <t>Background</t>
  </si>
  <si>
    <r>
      <rPr>
        <sz val="11"/>
        <color rgb="FF000000"/>
        <rFont val="Calibri"/>
      </rPr>
      <t xml:space="preserve">Olist </t>
    </r>
    <r>
      <rPr>
        <sz val="11"/>
        <color rgb="FF000000"/>
        <rFont val="Calibri"/>
      </rPr>
      <t>S</t>
    </r>
    <r>
      <rPr>
        <sz val="11"/>
        <color rgb="FF000000"/>
        <rFont val="Calibri"/>
      </rPr>
      <t>tore is a Brazilian e</t>
    </r>
    <r>
      <rPr>
        <sz val="11"/>
        <color rgb="FF000000"/>
        <rFont val="Calibri"/>
      </rPr>
      <t>-</t>
    </r>
    <r>
      <rPr>
        <sz val="11"/>
        <color rgb="FF000000"/>
        <rFont val="Calibri"/>
      </rPr>
      <t xml:space="preserve">commerce marketplace platform with over </t>
    </r>
    <r>
      <rPr>
        <sz val="11"/>
        <color rgb="FF000000"/>
        <rFont val="Calibri"/>
      </rPr>
      <t>3,000</t>
    </r>
    <r>
      <rPr>
        <sz val="11"/>
        <color rgb="FF000000"/>
        <rFont val="Calibri"/>
      </rPr>
      <t xml:space="preserve"> sellers and </t>
    </r>
    <r>
      <rPr>
        <sz val="11"/>
        <color rgb="FF000000"/>
        <rFont val="Calibri"/>
      </rPr>
      <t>1,00,000</t>
    </r>
    <r>
      <rPr>
        <sz val="11"/>
        <color rgb="FF000000"/>
        <rFont val="Calibri"/>
      </rPr>
      <t xml:space="preserve"> orders placed </t>
    </r>
    <r>
      <rPr>
        <sz val="11"/>
        <color rgb="FF000000"/>
        <rFont val="Calibri"/>
      </rPr>
      <t>during</t>
    </r>
    <r>
      <rPr>
        <sz val="11"/>
        <color rgb="FF000000"/>
        <rFont val="Calibri"/>
      </rPr>
      <t xml:space="preserve"> 2016</t>
    </r>
    <r>
      <rPr>
        <sz val="11"/>
        <color rgb="FF000000"/>
        <rFont val="Calibri"/>
      </rPr>
      <t>–</t>
    </r>
    <r>
      <rPr>
        <sz val="11"/>
        <color rgb="FF000000"/>
        <rFont val="Calibri"/>
      </rPr>
      <t xml:space="preserve">2018. </t>
    </r>
    <r>
      <rPr>
        <sz val="11"/>
        <color rgb="FF000000"/>
        <rFont val="Calibri"/>
      </rPr>
      <t xml:space="preserve">It </t>
    </r>
    <r>
      <rPr>
        <sz val="11"/>
        <color rgb="FF000000"/>
        <rFont val="Calibri"/>
      </rPr>
      <t>offer</t>
    </r>
    <r>
      <rPr>
        <sz val="11"/>
        <color rgb="FF000000"/>
        <rFont val="Calibri"/>
      </rPr>
      <t>s</t>
    </r>
    <r>
      <rPr>
        <sz val="11"/>
        <color rgb="FF000000"/>
        <rFont val="Calibri"/>
      </rPr>
      <t xml:space="preserve"> </t>
    </r>
    <r>
      <rPr>
        <sz val="11"/>
        <color rgb="FF000000"/>
        <rFont val="Calibri"/>
      </rPr>
      <t>products in</t>
    </r>
    <r>
      <rPr>
        <sz val="11"/>
        <color rgb="FF000000"/>
        <rFont val="Calibri"/>
      </rPr>
      <t xml:space="preserve"> various categories</t>
    </r>
    <r>
      <rPr>
        <sz val="11"/>
        <color rgb="FF000000"/>
        <rFont val="Calibri"/>
      </rPr>
      <t xml:space="preserve">, </t>
    </r>
    <r>
      <rPr>
        <sz val="11"/>
        <color rgb="FF000000"/>
        <rFont val="Calibri"/>
      </rPr>
      <t xml:space="preserve">including </t>
    </r>
    <r>
      <rPr>
        <sz val="11"/>
        <color rgb="FF000000"/>
        <rFont val="Calibri"/>
      </rPr>
      <t>f</t>
    </r>
    <r>
      <rPr>
        <sz val="11"/>
        <color rgb="FF000000"/>
        <rFont val="Calibri"/>
      </rPr>
      <t xml:space="preserve">ood </t>
    </r>
    <r>
      <rPr>
        <sz val="11"/>
        <color rgb="FF000000"/>
        <rFont val="Calibri"/>
      </rPr>
      <t>and d</t>
    </r>
    <r>
      <rPr>
        <sz val="11"/>
        <color rgb="FF000000"/>
        <rFont val="Calibri"/>
      </rPr>
      <t xml:space="preserve">rink, </t>
    </r>
    <r>
      <rPr>
        <sz val="11"/>
        <color rgb="FF000000"/>
        <rFont val="Calibri"/>
      </rPr>
      <t>s</t>
    </r>
    <r>
      <rPr>
        <sz val="11"/>
        <color rgb="FF000000"/>
        <rFont val="Calibri"/>
      </rPr>
      <t xml:space="preserve">ports, </t>
    </r>
    <r>
      <rPr>
        <sz val="11"/>
        <color rgb="FF000000"/>
        <rFont val="Calibri"/>
      </rPr>
      <t>t</t>
    </r>
    <r>
      <rPr>
        <sz val="11"/>
        <color rgb="FF000000"/>
        <rFont val="Calibri"/>
      </rPr>
      <t>oys, tools,</t>
    </r>
    <r>
      <rPr>
        <sz val="11"/>
        <color rgb="FF000000"/>
        <rFont val="Calibri"/>
      </rPr>
      <t xml:space="preserve"> c</t>
    </r>
    <r>
      <rPr>
        <sz val="11"/>
        <color rgb="FF000000"/>
        <rFont val="Calibri"/>
      </rPr>
      <t xml:space="preserve">onstruction, </t>
    </r>
    <r>
      <rPr>
        <sz val="11"/>
        <color rgb="FF000000"/>
        <rFont val="Calibri"/>
      </rPr>
      <t>a</t>
    </r>
    <r>
      <rPr>
        <sz val="11"/>
        <color rgb="FF000000"/>
        <rFont val="Calibri"/>
      </rPr>
      <t>uto parts, etc.</t>
    </r>
  </si>
  <si>
    <r>
      <rPr>
        <sz val="11"/>
        <color rgb="FF000000"/>
        <rFont val="Calibri"/>
      </rPr>
      <t>1. Divide the company into smaller segments and and identify high</t>
    </r>
    <r>
      <rPr>
        <sz val="11"/>
        <color rgb="FF000000"/>
        <rFont val="Calibri"/>
      </rPr>
      <t>-</t>
    </r>
    <r>
      <rPr>
        <sz val="11"/>
        <color rgb="FF000000"/>
        <rFont val="Calibri"/>
      </rPr>
      <t xml:space="preserve">value items. 
2. Among those </t>
    </r>
    <r>
      <rPr>
        <sz val="11"/>
        <color rgb="FF000000"/>
        <rFont val="Calibri"/>
      </rPr>
      <t xml:space="preserve">items, </t>
    </r>
    <r>
      <rPr>
        <sz val="11"/>
        <color rgb="FF000000"/>
        <rFont val="Calibri"/>
      </rPr>
      <t xml:space="preserve">identify </t>
    </r>
    <r>
      <rPr>
        <sz val="11"/>
        <color rgb="FF000000"/>
        <rFont val="Calibri"/>
      </rPr>
      <t>the use case</t>
    </r>
    <r>
      <rPr>
        <sz val="11"/>
        <color rgb="FF000000"/>
        <rFont val="Calibri"/>
      </rPr>
      <t xml:space="preserve"> with </t>
    </r>
    <r>
      <rPr>
        <sz val="11"/>
        <color rgb="FF000000"/>
        <rFont val="Calibri"/>
      </rPr>
      <t xml:space="preserve">a </t>
    </r>
    <r>
      <rPr>
        <sz val="11"/>
        <color rgb="FF000000"/>
        <rFont val="Calibri"/>
      </rPr>
      <t>high potential business value. 
3. List all othe</t>
    </r>
    <r>
      <rPr>
        <sz val="11"/>
        <color rgb="FF000000"/>
        <rFont val="Calibri"/>
      </rPr>
      <t>r</t>
    </r>
    <r>
      <rPr>
        <sz val="11"/>
        <color rgb="FF000000"/>
        <rFont val="Calibri"/>
      </rPr>
      <t xml:space="preserve"> problems </t>
    </r>
    <r>
      <rPr>
        <sz val="11"/>
        <color rgb="FF000000"/>
        <rFont val="Calibri"/>
      </rPr>
      <t xml:space="preserve">that </t>
    </r>
    <r>
      <rPr>
        <sz val="11"/>
        <color rgb="FF000000"/>
        <rFont val="Calibri"/>
      </rPr>
      <t xml:space="preserve">you can think of without any other consideration. </t>
    </r>
  </si>
  <si>
    <t>Sr. No.</t>
  </si>
  <si>
    <t>Use Case Topic</t>
  </si>
  <si>
    <t>Use Case Details</t>
  </si>
  <si>
    <t>Delivery Date Prediction</t>
  </si>
  <si>
    <t>The logistics team at Olist uses heuristics to provide an estimated delivery date for the orders placed. It is very conservative about the delivery dates. As a result, it is able to deliver the products much in advance. Although this is beneficial for the 'on time delivery' KPI of the logistics team, it is not favourable for the CMO. He found that on average, the estimated time to deliver products that is given to customers is twice that of the actual delivery time. Such a high expected delivery time is driving away Olist's customers. So, the CMO is looking to use ML to get a far more accurate expected delivery date.</t>
  </si>
  <si>
    <t>Sentiment Analysis</t>
  </si>
  <si>
    <t>The Chief Marketing Officer at Olist wanted to understand the experience of the customers based on the reviews received after the delivery of the orders. He also wanted to identify the areas of improvement based on these reviews. He had heard that NLP can be used for sentiment analysis and topic modeling, which will be useful in finding topics in customer reviews. However, he was also cognizant of the fact the customer reviews are in Portuguese, whereas the NLP algorithms are not so sophisticated in Portuguese.</t>
  </si>
  <si>
    <t>Customer Churn</t>
  </si>
  <si>
    <r>
      <rPr>
        <sz val="11"/>
        <color rgb="FF000000"/>
        <rFont val="Calibri"/>
      </rPr>
      <t>Customer churn is a critical metric for a CMO at an e</t>
    </r>
    <r>
      <rPr>
        <sz val="11"/>
        <color rgb="FF000000"/>
        <rFont val="Calibri"/>
      </rPr>
      <t>-</t>
    </r>
    <r>
      <rPr>
        <sz val="11"/>
        <color rgb="FF000000"/>
        <rFont val="Calibri"/>
      </rPr>
      <t xml:space="preserve">commerce company. Olist wants to develop customer churn models to identify 'at-risk' customers so that appropriate retention strategies can be built. This will provide insights into </t>
    </r>
    <r>
      <rPr>
        <sz val="11"/>
        <color rgb="FF000000"/>
        <rFont val="Calibri"/>
      </rPr>
      <t>the</t>
    </r>
    <r>
      <rPr>
        <sz val="11"/>
        <color rgb="FF000000"/>
        <rFont val="Calibri"/>
      </rPr>
      <t xml:space="preserve"> factors driving customer churn</t>
    </r>
    <r>
      <rPr>
        <sz val="11"/>
        <color rgb="FF000000"/>
        <rFont val="Calibri"/>
      </rPr>
      <t>, thus reinforcing</t>
    </r>
    <r>
      <rPr>
        <sz val="11"/>
        <color rgb="FF000000"/>
        <rFont val="Calibri"/>
      </rPr>
      <t xml:space="preserve"> its retention efforts.</t>
    </r>
  </si>
  <si>
    <r>
      <rPr>
        <sz val="11"/>
        <color rgb="FF000000"/>
        <rFont val="Calibri"/>
      </rPr>
      <t>Customer Acquisition Cost Optimi</t>
    </r>
    <r>
      <rPr>
        <sz val="11"/>
        <color rgb="FF000000"/>
        <rFont val="Calibri"/>
      </rPr>
      <t>s</t>
    </r>
    <r>
      <rPr>
        <sz val="11"/>
        <color rgb="FF000000"/>
        <rFont val="Calibri"/>
      </rPr>
      <t>ation</t>
    </r>
  </si>
  <si>
    <r>
      <rPr>
        <sz val="11"/>
        <color rgb="FF000000"/>
        <rFont val="Calibri"/>
      </rPr>
      <t xml:space="preserve">The Marketing team at Olist runs multiple promotional campaigns </t>
    </r>
    <r>
      <rPr>
        <sz val="11"/>
        <color rgb="FF000000"/>
        <rFont val="Calibri"/>
      </rPr>
      <t xml:space="preserve">to </t>
    </r>
    <r>
      <rPr>
        <sz val="11"/>
        <color rgb="FF000000"/>
        <rFont val="Calibri"/>
      </rPr>
      <t>acquire new customers. However, the CFO believes that the marketing team is burning significant cash by offering deep discounts on products and other benefits</t>
    </r>
    <r>
      <rPr>
        <sz val="11"/>
        <color rgb="FF000000"/>
        <rFont val="Calibri"/>
      </rPr>
      <t xml:space="preserve">, </t>
    </r>
    <r>
      <rPr>
        <sz val="11"/>
        <color rgb="FF000000"/>
        <rFont val="Calibri"/>
      </rPr>
      <t xml:space="preserve">which is inflating </t>
    </r>
    <r>
      <rPr>
        <sz val="11"/>
        <color rgb="FF000000"/>
        <rFont val="Calibri"/>
      </rPr>
      <t xml:space="preserve">the </t>
    </r>
    <r>
      <rPr>
        <sz val="11"/>
        <color rgb="FF000000"/>
        <rFont val="Calibri"/>
      </rPr>
      <t xml:space="preserve">customer acquisition cost. The CFO wants to initiate a new process to measure the effectiveness of the acquisition campaigns by comparing them against the </t>
    </r>
    <r>
      <rPr>
        <sz val="11"/>
        <color rgb="FF000000"/>
        <rFont val="Calibri"/>
      </rPr>
      <t>l</t>
    </r>
    <r>
      <rPr>
        <sz val="11"/>
        <color rgb="FF000000"/>
        <rFont val="Calibri"/>
      </rPr>
      <t>ifetime value of customers.</t>
    </r>
  </si>
  <si>
    <t>Fraud Detection</t>
  </si>
  <si>
    <t>Fraud is one the most challenging areas to deal with in an e-commerce industry, as it can result in huge financial losses. There can be fraud in the areas of merchant identity, advanced fee, and wire transfer scams, chargeback fraud, etc. The CFO wants to use the power of analytics to identify fraudulent transactions so as to help guard the organisation against such actions.</t>
  </si>
  <si>
    <t>Price Optimisation</t>
  </si>
  <si>
    <t>Pricing is one of the most important piece of business for an e-commerce organsiation. It has a direct and profound impact on revenue, sales, profit and demand. Price optimization is performed using a number of factors such as the location, the attitude of the customer, competitor’s pricing, etc. and the data science algorithm predicts the customer’s segmentation to make a response to the change of price. OLISTs sales team wants to build a price optimisation algorithm so as to maximise the sales and revenue.</t>
  </si>
  <si>
    <r>
      <rPr>
        <sz val="12"/>
        <color rgb="FF000000"/>
        <rFont val="Arial"/>
      </rPr>
      <t xml:space="preserve">The objective of this step is to find out which use cases are not feasible based on the data at hand currently. All the use cases </t>
    </r>
    <r>
      <rPr>
        <sz val="12"/>
        <color rgb="FF000000"/>
        <rFont val="Arial"/>
      </rPr>
      <t>that</t>
    </r>
    <r>
      <rPr>
        <sz val="12"/>
        <color rgb="FF000000"/>
        <rFont val="Arial"/>
      </rPr>
      <t xml:space="preserve"> are not feasible can be dropped in this step. </t>
    </r>
  </si>
  <si>
    <t>Data link</t>
  </si>
  <si>
    <t>Data</t>
  </si>
  <si>
    <t>Data Assessment</t>
  </si>
  <si>
    <r>
      <rPr>
        <b/>
        <sz val="12"/>
        <color rgb="FF000000"/>
        <rFont val="Arial"/>
      </rPr>
      <t xml:space="preserve">Assess the Data Available Based on Following </t>
    </r>
    <r>
      <rPr>
        <b/>
        <sz val="12"/>
        <color rgb="FF000000"/>
        <rFont val="Arial"/>
      </rPr>
      <t>Parameters</t>
    </r>
    <r>
      <rPr>
        <b/>
        <sz val="12"/>
        <color rgb="FF000000"/>
        <rFont val="Arial"/>
      </rPr>
      <t xml:space="preserve"> </t>
    </r>
  </si>
  <si>
    <t xml:space="preserve">Rating </t>
  </si>
  <si>
    <t>1 Stands For</t>
  </si>
  <si>
    <t xml:space="preserve">5 Stands For </t>
  </si>
  <si>
    <t xml:space="preserve">Comments </t>
  </si>
  <si>
    <t xml:space="preserve">Volume </t>
  </si>
  <si>
    <r>
      <rPr>
        <sz val="12"/>
        <color rgb="FF000000"/>
        <rFont val="Arial"/>
      </rPr>
      <t>Is the volume of data produced sufficient for your ML/AI solution</t>
    </r>
    <r>
      <rPr>
        <sz val="12"/>
        <color rgb="FF000000"/>
        <rFont val="Arial"/>
      </rPr>
      <t>?</t>
    </r>
    <r>
      <rPr>
        <sz val="12"/>
        <color rgb="FF000000"/>
        <rFont val="Arial"/>
      </rPr>
      <t xml:space="preserve"> </t>
    </r>
  </si>
  <si>
    <r>
      <rPr>
        <sz val="12"/>
        <color rgb="FF000000"/>
        <rFont val="Arial"/>
      </rPr>
      <t>The d</t>
    </r>
    <r>
      <rPr>
        <sz val="12"/>
        <color rgb="FF000000"/>
        <rFont val="Arial"/>
      </rPr>
      <t xml:space="preserve">ata is inadequate to capture all trends and patterns </t>
    </r>
  </si>
  <si>
    <t>More than enough data available</t>
  </si>
  <si>
    <t xml:space="preserve">Variety </t>
  </si>
  <si>
    <r>
      <rPr>
        <sz val="12"/>
        <color rgb="FF000000"/>
        <rFont val="Arial"/>
      </rPr>
      <t>Is there enough variety in the data to ensure that the model learns properly</t>
    </r>
    <r>
      <rPr>
        <sz val="12"/>
        <color rgb="FF000000"/>
        <rFont val="Arial"/>
      </rPr>
      <t>?</t>
    </r>
    <r>
      <rPr>
        <sz val="12"/>
        <color rgb="FF000000"/>
        <rFont val="Arial"/>
      </rPr>
      <t xml:space="preserve"> While too much variation might signal noise, too little variation will not give the model enough exposure. </t>
    </r>
  </si>
  <si>
    <r>
      <rPr>
        <sz val="12"/>
        <color rgb="FF000000"/>
        <rFont val="Arial"/>
      </rPr>
      <t>T</t>
    </r>
    <r>
      <rPr>
        <sz val="12"/>
        <color rgb="FF000000"/>
        <rFont val="Arial"/>
      </rPr>
      <t>he data poorly represents the reality</t>
    </r>
  </si>
  <si>
    <r>
      <rPr>
        <sz val="12"/>
        <color rgb="FF000000"/>
        <rFont val="Arial"/>
      </rPr>
      <t>S</t>
    </r>
    <r>
      <rPr>
        <sz val="12"/>
        <color rgb="FF000000"/>
        <rFont val="Arial"/>
      </rPr>
      <t>ufficient data variety with representation of all variations</t>
    </r>
  </si>
  <si>
    <t xml:space="preserve">Velocity </t>
  </si>
  <si>
    <r>
      <rPr>
        <sz val="12"/>
        <color rgb="FF000000"/>
        <rFont val="Arial"/>
      </rPr>
      <t xml:space="preserve">Is the frequency of </t>
    </r>
    <r>
      <rPr>
        <sz val="12"/>
        <color rgb="FF000000"/>
        <rFont val="Arial"/>
      </rPr>
      <t xml:space="preserve">the </t>
    </r>
    <r>
      <rPr>
        <sz val="12"/>
        <color rgb="FF000000"/>
        <rFont val="Arial"/>
      </rPr>
      <t xml:space="preserve">recording enough to capture necessary data? </t>
    </r>
  </si>
  <si>
    <r>
      <rPr>
        <sz val="12"/>
        <color rgb="FF000000"/>
        <rFont val="Arial"/>
      </rPr>
      <t>T</t>
    </r>
    <r>
      <rPr>
        <sz val="12"/>
        <color rgb="FF000000"/>
        <rFont val="Arial"/>
      </rPr>
      <t xml:space="preserve">he frequency of data collection is much </t>
    </r>
    <r>
      <rPr>
        <sz val="12"/>
        <color rgb="FF000000"/>
        <rFont val="Arial"/>
      </rPr>
      <t>lower</t>
    </r>
    <r>
      <rPr>
        <sz val="12"/>
        <color rgb="FF000000"/>
        <rFont val="Arial"/>
      </rPr>
      <t xml:space="preserve"> than the change in real-world trends and patterns. </t>
    </r>
  </si>
  <si>
    <t xml:space="preserve">The frequency of incoming is high enough to capture all changes in real-world trends and patterns </t>
  </si>
  <si>
    <t>Veracity</t>
  </si>
  <si>
    <t xml:space="preserve">Is the data trust worthy? </t>
  </si>
  <si>
    <r>
      <rPr>
        <sz val="12"/>
        <color rgb="FF000000"/>
        <rFont val="Arial"/>
      </rPr>
      <t xml:space="preserve">Not at all </t>
    </r>
    <r>
      <rPr>
        <sz val="12"/>
        <color rgb="FF000000"/>
        <rFont val="Arial"/>
      </rPr>
      <t>data is</t>
    </r>
    <r>
      <rPr>
        <sz val="12"/>
        <color rgb="FF000000"/>
        <rFont val="Arial"/>
      </rPr>
      <t xml:space="preserve"> trustworthy</t>
    </r>
  </si>
  <si>
    <r>
      <rPr>
        <sz val="12"/>
        <color rgb="FF000000"/>
        <rFont val="Arial"/>
      </rPr>
      <t>The data is c</t>
    </r>
    <r>
      <rPr>
        <sz val="12"/>
        <color rgb="FF000000"/>
        <rFont val="Arial"/>
      </rPr>
      <t xml:space="preserve">ompletely trustworthy </t>
    </r>
  </si>
  <si>
    <t>Value</t>
  </si>
  <si>
    <t xml:space="preserve">Does the data in its current state have all the necessary attributes to create an impact on the business? 
Is the data relavent to the probem being solved. 
Does the data have the all the attributes (depending on your current perseption) necessary </t>
  </si>
  <si>
    <r>
      <rPr>
        <sz val="12"/>
        <color rgb="FF000000"/>
        <rFont val="Arial"/>
      </rPr>
      <t>Even with cleaning and feature engineering</t>
    </r>
    <r>
      <rPr>
        <sz val="12"/>
        <color rgb="FF000000"/>
        <rFont val="Arial"/>
      </rPr>
      <t xml:space="preserve">, </t>
    </r>
    <r>
      <rPr>
        <sz val="12"/>
        <color rgb="FF000000"/>
        <rFont val="Arial"/>
      </rPr>
      <t>the data will not become valuable</t>
    </r>
  </si>
  <si>
    <r>
      <rPr>
        <sz val="12"/>
        <color rgb="FF000000"/>
        <rFont val="Arial"/>
      </rPr>
      <t>The d</t>
    </r>
    <r>
      <rPr>
        <sz val="12"/>
        <color rgb="FF000000"/>
        <rFont val="Arial"/>
      </rPr>
      <t>ata does not need any cleaning and feature engineering; it is valuable as is</t>
    </r>
  </si>
  <si>
    <t>Infrastructure Assessment</t>
  </si>
  <si>
    <r>
      <rPr>
        <b/>
        <sz val="12"/>
        <color rgb="FF000000"/>
        <rFont val="Arial"/>
      </rPr>
      <t xml:space="preserve">Assess the Infrastructure Available based on the Following </t>
    </r>
    <r>
      <rPr>
        <b/>
        <sz val="12"/>
        <color rgb="FF000000"/>
        <rFont val="Arial"/>
      </rPr>
      <t>Parameters</t>
    </r>
  </si>
  <si>
    <t xml:space="preserve">1 Stands For </t>
  </si>
  <si>
    <t>Storage Needs</t>
  </si>
  <si>
    <r>
      <rPr>
        <sz val="12"/>
        <color rgb="FF000000"/>
        <rFont val="Arial"/>
      </rPr>
      <t>Is the infrastructure necessary to store and manipulate the data available? To answer this</t>
    </r>
    <r>
      <rPr>
        <sz val="12"/>
        <color rgb="FF000000"/>
        <rFont val="Arial"/>
      </rPr>
      <t>,</t>
    </r>
    <r>
      <rPr>
        <sz val="12"/>
        <color rgb="FF000000"/>
        <rFont val="Arial"/>
      </rPr>
      <t xml:space="preserve"> think of the volume of the data. </t>
    </r>
  </si>
  <si>
    <t>The data cannot be handled at all</t>
  </si>
  <si>
    <t>More than enough storage capacity is available.</t>
  </si>
  <si>
    <r>
      <rPr>
        <sz val="10"/>
        <color rgb="FF000000"/>
        <rFont val="Arial"/>
      </rPr>
      <t>The d</t>
    </r>
    <r>
      <rPr>
        <sz val="10"/>
        <color rgb="FF000000"/>
        <rFont val="Arial"/>
      </rPr>
      <t xml:space="preserve">ata is not that large. It is </t>
    </r>
    <r>
      <rPr>
        <sz val="10"/>
        <color rgb="FF000000"/>
        <rFont val="Arial"/>
      </rPr>
      <t>under a</t>
    </r>
    <r>
      <rPr>
        <sz val="10"/>
        <color rgb="FF000000"/>
        <rFont val="Arial"/>
      </rPr>
      <t xml:space="preserve"> few hundred MBs; so, more than necessary storage is available. </t>
    </r>
  </si>
  <si>
    <t xml:space="preserve">Compute Needs </t>
  </si>
  <si>
    <r>
      <rPr>
        <sz val="12"/>
        <color rgb="FF000000"/>
        <rFont val="Arial"/>
      </rPr>
      <t xml:space="preserve">Do you need special hardware </t>
    </r>
    <r>
      <rPr>
        <sz val="12"/>
        <color rgb="FF000000"/>
        <rFont val="Arial"/>
      </rPr>
      <t>such as</t>
    </r>
    <r>
      <rPr>
        <sz val="12"/>
        <color rgb="FF000000"/>
        <rFont val="Arial"/>
      </rPr>
      <t xml:space="preserve"> GPUs and TPUs for processing the data? You can have these devices on premise or on cloud. </t>
    </r>
  </si>
  <si>
    <t>Not enough at all</t>
  </si>
  <si>
    <t>More than necessary compute power is available.</t>
  </si>
  <si>
    <t xml:space="preserve">More than necessary compute capability can be found easily. But It would be better if a single instance of special equipment like a GPU was on standby if needed. </t>
  </si>
  <si>
    <t>Support Needs</t>
  </si>
  <si>
    <r>
      <rPr>
        <sz val="12"/>
        <color rgb="FF000000"/>
        <rFont val="Arial"/>
      </rPr>
      <t>Are n</t>
    </r>
    <r>
      <rPr>
        <sz val="12"/>
        <color rgb="FF000000"/>
        <rFont val="Arial"/>
      </rPr>
      <t xml:space="preserve">ecessary support functions </t>
    </r>
    <r>
      <rPr>
        <sz val="12"/>
        <color rgb="FF000000"/>
        <rFont val="Arial"/>
      </rPr>
      <t>such as</t>
    </r>
    <r>
      <rPr>
        <sz val="12"/>
        <color rgb="FF000000"/>
        <rFont val="Arial"/>
      </rPr>
      <t xml:space="preserve"> streaming data capability </t>
    </r>
    <r>
      <rPr>
        <sz val="12"/>
        <color rgb="FF000000"/>
        <rFont val="Arial"/>
      </rPr>
      <t>and</t>
    </r>
    <r>
      <rPr>
        <sz val="12"/>
        <color rgb="FF000000"/>
        <rFont val="Arial"/>
      </rPr>
      <t xml:space="preserve"> DBMS available? </t>
    </r>
  </si>
  <si>
    <t>Need to build everything from scratch</t>
  </si>
  <si>
    <r>
      <rPr>
        <sz val="12"/>
        <color rgb="FF000000"/>
        <rFont val="Arial"/>
      </rPr>
      <t xml:space="preserve">Everything is in </t>
    </r>
    <r>
      <rPr>
        <sz val="12"/>
        <color rgb="FF000000"/>
        <rFont val="Arial"/>
      </rPr>
      <t xml:space="preserve">a </t>
    </r>
    <r>
      <rPr>
        <sz val="12"/>
        <color rgb="FF000000"/>
        <rFont val="Arial"/>
      </rPr>
      <t>ready-to-use condition</t>
    </r>
  </si>
  <si>
    <t xml:space="preserve">The company has not yet built all the necessary support structure. Support infrastructure includes infrasrucutre needed to collect the data, build the ML model, and share the insights with relevent consumers. In thecase of delivery date prediction, the model will need capability of captuting live incoming data and share the pridicted date with the customer in real time. Although the company will have necessary infrastrucutre becuase they are an already operating e commerse setup, but this reaises more questions about the skill needed which you will have to rate in the next point. </t>
  </si>
  <si>
    <t>Average rating</t>
  </si>
  <si>
    <t>Outcome</t>
  </si>
  <si>
    <t xml:space="preserve">Is the use case feasible considering the data available? </t>
  </si>
  <si>
    <t>Yes</t>
  </si>
  <si>
    <t xml:space="preserve">Repeat this assessment with all the use cases and find out which use cases are not feasible. </t>
  </si>
  <si>
    <r>
      <rPr>
        <b/>
        <sz val="12"/>
        <color rgb="FF000000"/>
        <rFont val="Arial"/>
      </rPr>
      <t xml:space="preserve">Assess the Data Available Based on Following </t>
    </r>
    <r>
      <rPr>
        <b/>
        <sz val="12"/>
        <color rgb="FF000000"/>
        <rFont val="Arial"/>
      </rPr>
      <t>Parameters</t>
    </r>
    <r>
      <rPr>
        <b/>
        <sz val="12"/>
        <color rgb="FF000000"/>
        <rFont val="Arial"/>
      </rPr>
      <t xml:space="preserve"> </t>
    </r>
  </si>
  <si>
    <r>
      <rPr>
        <sz val="12"/>
        <color rgb="FF000000"/>
        <rFont val="Arial"/>
      </rPr>
      <t>Is the volume of data produced sufficient for your ML/AI solution</t>
    </r>
    <r>
      <rPr>
        <sz val="12"/>
        <color rgb="FF000000"/>
        <rFont val="Arial"/>
      </rPr>
      <t>?</t>
    </r>
    <r>
      <rPr>
        <sz val="12"/>
        <color rgb="FF000000"/>
        <rFont val="Arial"/>
      </rPr>
      <t xml:space="preserve"> </t>
    </r>
  </si>
  <si>
    <r>
      <rPr>
        <sz val="12"/>
        <color rgb="FF000000"/>
        <rFont val="Arial"/>
      </rPr>
      <t>The d</t>
    </r>
    <r>
      <rPr>
        <sz val="12"/>
        <color rgb="FF000000"/>
        <rFont val="Arial"/>
      </rPr>
      <t xml:space="preserve">ata is inadequate to capture all trends and patterns </t>
    </r>
  </si>
  <si>
    <r>
      <rPr>
        <sz val="12"/>
        <color rgb="FF000000"/>
        <rFont val="Arial"/>
      </rPr>
      <t>Is there enough variety in the data to ensure that the model learns properly</t>
    </r>
    <r>
      <rPr>
        <sz val="12"/>
        <color rgb="FF000000"/>
        <rFont val="Arial"/>
      </rPr>
      <t>?</t>
    </r>
    <r>
      <rPr>
        <sz val="12"/>
        <color rgb="FF000000"/>
        <rFont val="Arial"/>
      </rPr>
      <t xml:space="preserve"> While too much variation might signal noise, too little variation will not give the model enough exposure. </t>
    </r>
  </si>
  <si>
    <r>
      <rPr>
        <sz val="12"/>
        <color rgb="FF000000"/>
        <rFont val="Arial"/>
      </rPr>
      <t>T</t>
    </r>
    <r>
      <rPr>
        <sz val="12"/>
        <color rgb="FF000000"/>
        <rFont val="Arial"/>
      </rPr>
      <t>he data poorly represents the reality</t>
    </r>
  </si>
  <si>
    <r>
      <rPr>
        <sz val="12"/>
        <color rgb="FF000000"/>
        <rFont val="Arial"/>
      </rPr>
      <t>S</t>
    </r>
    <r>
      <rPr>
        <sz val="12"/>
        <color rgb="FF000000"/>
        <rFont val="Arial"/>
      </rPr>
      <t>ufficient data variety with representation of all variations</t>
    </r>
  </si>
  <si>
    <r>
      <rPr>
        <sz val="12"/>
        <color rgb="FF000000"/>
        <rFont val="Arial"/>
      </rPr>
      <t xml:space="preserve">Is the frequency of </t>
    </r>
    <r>
      <rPr>
        <sz val="12"/>
        <color rgb="FF000000"/>
        <rFont val="Arial"/>
      </rPr>
      <t xml:space="preserve">the </t>
    </r>
    <r>
      <rPr>
        <sz val="12"/>
        <color rgb="FF000000"/>
        <rFont val="Arial"/>
      </rPr>
      <t xml:space="preserve">recording enough to capture necessary data? </t>
    </r>
  </si>
  <si>
    <r>
      <rPr>
        <sz val="12"/>
        <color rgb="FF000000"/>
        <rFont val="Arial"/>
      </rPr>
      <t>T</t>
    </r>
    <r>
      <rPr>
        <sz val="12"/>
        <color rgb="FF000000"/>
        <rFont val="Arial"/>
      </rPr>
      <t xml:space="preserve">he frequency of data collection is much </t>
    </r>
    <r>
      <rPr>
        <sz val="12"/>
        <color rgb="FF000000"/>
        <rFont val="Arial"/>
      </rPr>
      <t>lower</t>
    </r>
    <r>
      <rPr>
        <sz val="12"/>
        <color rgb="FF000000"/>
        <rFont val="Arial"/>
      </rPr>
      <t xml:space="preserve"> than the change in real-world trends and patterns. </t>
    </r>
  </si>
  <si>
    <r>
      <rPr>
        <sz val="12"/>
        <color rgb="FF000000"/>
        <rFont val="Arial"/>
      </rPr>
      <t xml:space="preserve">Not at all </t>
    </r>
    <r>
      <rPr>
        <sz val="12"/>
        <color rgb="FF000000"/>
        <rFont val="Arial"/>
      </rPr>
      <t>data is</t>
    </r>
    <r>
      <rPr>
        <sz val="12"/>
        <color rgb="FF000000"/>
        <rFont val="Arial"/>
      </rPr>
      <t xml:space="preserve"> trustworthy</t>
    </r>
  </si>
  <si>
    <r>
      <rPr>
        <sz val="12"/>
        <color rgb="FF000000"/>
        <rFont val="Arial"/>
      </rPr>
      <t>The data is c</t>
    </r>
    <r>
      <rPr>
        <sz val="12"/>
        <color rgb="FF000000"/>
        <rFont val="Arial"/>
      </rPr>
      <t xml:space="preserve">ompletely trustworthy </t>
    </r>
  </si>
  <si>
    <r>
      <rPr>
        <sz val="12"/>
        <color rgb="FF000000"/>
        <rFont val="Arial"/>
      </rPr>
      <t xml:space="preserve">Does the data in its current state have all the necessary attributes to create </t>
    </r>
    <r>
      <rPr>
        <sz val="12"/>
        <color rgb="FF000000"/>
        <rFont val="Arial"/>
      </rPr>
      <t xml:space="preserve">an </t>
    </r>
    <r>
      <rPr>
        <sz val="12"/>
        <color rgb="FF000000"/>
        <rFont val="Arial"/>
      </rPr>
      <t>impact on the business</t>
    </r>
    <r>
      <rPr>
        <sz val="12"/>
        <color rgb="FF000000"/>
        <rFont val="Arial"/>
      </rPr>
      <t>?</t>
    </r>
    <r>
      <rPr>
        <sz val="12"/>
        <color rgb="FF000000"/>
        <rFont val="Arial"/>
      </rPr>
      <t xml:space="preserve"> </t>
    </r>
  </si>
  <si>
    <r>
      <rPr>
        <sz val="12"/>
        <color rgb="FF000000"/>
        <rFont val="Arial"/>
      </rPr>
      <t>Even with cleaning and feature engineering</t>
    </r>
    <r>
      <rPr>
        <sz val="12"/>
        <color rgb="FF000000"/>
        <rFont val="Arial"/>
      </rPr>
      <t xml:space="preserve">, </t>
    </r>
    <r>
      <rPr>
        <sz val="12"/>
        <color rgb="FF000000"/>
        <rFont val="Arial"/>
      </rPr>
      <t>the data will not become valuable</t>
    </r>
  </si>
  <si>
    <r>
      <rPr>
        <sz val="12"/>
        <color rgb="FF000000"/>
        <rFont val="Arial"/>
      </rPr>
      <t>The d</t>
    </r>
    <r>
      <rPr>
        <sz val="12"/>
        <color rgb="FF000000"/>
        <rFont val="Arial"/>
      </rPr>
      <t>ata does not need any cleaning and feature engineering; it is valuable as is</t>
    </r>
  </si>
  <si>
    <r>
      <rPr>
        <b/>
        <sz val="12"/>
        <color rgb="FF000000"/>
        <rFont val="Arial"/>
      </rPr>
      <t xml:space="preserve">Assess the Infrastructure Available based on the Following </t>
    </r>
    <r>
      <rPr>
        <b/>
        <sz val="12"/>
        <color rgb="FF000000"/>
        <rFont val="Arial"/>
      </rPr>
      <t>Parameters</t>
    </r>
  </si>
  <si>
    <r>
      <rPr>
        <sz val="12"/>
        <color rgb="FF000000"/>
        <rFont val="Arial"/>
      </rPr>
      <t>Is the infrastructure necessary to store and manipulate the data available? To answer this</t>
    </r>
    <r>
      <rPr>
        <sz val="12"/>
        <color rgb="FF000000"/>
        <rFont val="Arial"/>
      </rPr>
      <t>,</t>
    </r>
    <r>
      <rPr>
        <sz val="12"/>
        <color rgb="FF000000"/>
        <rFont val="Arial"/>
      </rPr>
      <t xml:space="preserve"> think of the volume of the data. </t>
    </r>
  </si>
  <si>
    <r>
      <rPr>
        <sz val="12"/>
        <color rgb="FF000000"/>
        <rFont val="Arial"/>
      </rPr>
      <t xml:space="preserve">Do you need special hardware </t>
    </r>
    <r>
      <rPr>
        <sz val="12"/>
        <color rgb="FF000000"/>
        <rFont val="Arial"/>
      </rPr>
      <t>such as</t>
    </r>
    <r>
      <rPr>
        <sz val="12"/>
        <color rgb="FF000000"/>
        <rFont val="Arial"/>
      </rPr>
      <t xml:space="preserve"> GPUs and TPUs for processing the data? You can have these devices on premise or on cloud. </t>
    </r>
  </si>
  <si>
    <r>
      <rPr>
        <sz val="12"/>
        <color rgb="FF000000"/>
        <rFont val="Arial"/>
      </rPr>
      <t>Are n</t>
    </r>
    <r>
      <rPr>
        <sz val="12"/>
        <color rgb="FF000000"/>
        <rFont val="Arial"/>
      </rPr>
      <t xml:space="preserve">ecessary support functions </t>
    </r>
    <r>
      <rPr>
        <sz val="12"/>
        <color rgb="FF000000"/>
        <rFont val="Arial"/>
      </rPr>
      <t>such as</t>
    </r>
    <r>
      <rPr>
        <sz val="12"/>
        <color rgb="FF000000"/>
        <rFont val="Arial"/>
      </rPr>
      <t xml:space="preserve"> streaming data capability </t>
    </r>
    <r>
      <rPr>
        <sz val="12"/>
        <color rgb="FF000000"/>
        <rFont val="Arial"/>
      </rPr>
      <t>and</t>
    </r>
    <r>
      <rPr>
        <sz val="12"/>
        <color rgb="FF000000"/>
        <rFont val="Arial"/>
      </rPr>
      <t xml:space="preserve"> DBMS available? </t>
    </r>
  </si>
  <si>
    <r>
      <rPr>
        <sz val="12"/>
        <color rgb="FF000000"/>
        <rFont val="Arial"/>
      </rPr>
      <t xml:space="preserve">Everything is in </t>
    </r>
    <r>
      <rPr>
        <sz val="12"/>
        <color rgb="FF000000"/>
        <rFont val="Arial"/>
      </rPr>
      <t xml:space="preserve">a </t>
    </r>
    <r>
      <rPr>
        <sz val="12"/>
        <color rgb="FF000000"/>
        <rFont val="Arial"/>
      </rPr>
      <t>ready-to-use condition</t>
    </r>
  </si>
  <si>
    <r>
      <rPr>
        <b/>
        <sz val="12"/>
        <color rgb="FF000000"/>
        <rFont val="Arial"/>
      </rPr>
      <t xml:space="preserve">Assess the Data Available Based on Following </t>
    </r>
    <r>
      <rPr>
        <b/>
        <sz val="12"/>
        <color rgb="FF000000"/>
        <rFont val="Arial"/>
      </rPr>
      <t>Parameters</t>
    </r>
    <r>
      <rPr>
        <b/>
        <sz val="12"/>
        <color rgb="FF000000"/>
        <rFont val="Arial"/>
      </rPr>
      <t xml:space="preserve"> </t>
    </r>
  </si>
  <si>
    <r>
      <rPr>
        <sz val="12"/>
        <color rgb="FF000000"/>
        <rFont val="Arial"/>
      </rPr>
      <t>Is the volume of data produced sufficient for your ML/AI solution</t>
    </r>
    <r>
      <rPr>
        <sz val="12"/>
        <color rgb="FF000000"/>
        <rFont val="Arial"/>
      </rPr>
      <t>?</t>
    </r>
    <r>
      <rPr>
        <sz val="12"/>
        <color rgb="FF000000"/>
        <rFont val="Arial"/>
      </rPr>
      <t xml:space="preserve"> </t>
    </r>
  </si>
  <si>
    <r>
      <rPr>
        <sz val="12"/>
        <color rgb="FF000000"/>
        <rFont val="Arial"/>
      </rPr>
      <t>The d</t>
    </r>
    <r>
      <rPr>
        <sz val="12"/>
        <color rgb="FF000000"/>
        <rFont val="Arial"/>
      </rPr>
      <t xml:space="preserve">ata is inadequate to capture all trends and patterns </t>
    </r>
  </si>
  <si>
    <r>
      <rPr>
        <sz val="12"/>
        <color rgb="FF000000"/>
        <rFont val="Arial"/>
      </rPr>
      <t>Is there enough variety in the data to ensure that the model learns properly</t>
    </r>
    <r>
      <rPr>
        <sz val="12"/>
        <color rgb="FF000000"/>
        <rFont val="Arial"/>
      </rPr>
      <t>?</t>
    </r>
    <r>
      <rPr>
        <sz val="12"/>
        <color rgb="FF000000"/>
        <rFont val="Arial"/>
      </rPr>
      <t xml:space="preserve"> While too much variation might signal noise, too little variation will not give the model enough exposure. </t>
    </r>
  </si>
  <si>
    <r>
      <rPr>
        <sz val="12"/>
        <color rgb="FF000000"/>
        <rFont val="Arial"/>
      </rPr>
      <t>T</t>
    </r>
    <r>
      <rPr>
        <sz val="12"/>
        <color rgb="FF000000"/>
        <rFont val="Arial"/>
      </rPr>
      <t>he data poorly represents the reality</t>
    </r>
  </si>
  <si>
    <r>
      <rPr>
        <sz val="12"/>
        <color rgb="FF000000"/>
        <rFont val="Arial"/>
      </rPr>
      <t>S</t>
    </r>
    <r>
      <rPr>
        <sz val="12"/>
        <color rgb="FF000000"/>
        <rFont val="Arial"/>
      </rPr>
      <t>ufficient data variety with representation of all variations</t>
    </r>
  </si>
  <si>
    <r>
      <rPr>
        <sz val="12"/>
        <color rgb="FF000000"/>
        <rFont val="Arial"/>
      </rPr>
      <t xml:space="preserve">Is the frequency of </t>
    </r>
    <r>
      <rPr>
        <sz val="12"/>
        <color rgb="FF000000"/>
        <rFont val="Arial"/>
      </rPr>
      <t xml:space="preserve">the </t>
    </r>
    <r>
      <rPr>
        <sz val="12"/>
        <color rgb="FF000000"/>
        <rFont val="Arial"/>
      </rPr>
      <t xml:space="preserve">recording enough to capture necessary data? </t>
    </r>
  </si>
  <si>
    <r>
      <rPr>
        <sz val="12"/>
        <color rgb="FF000000"/>
        <rFont val="Arial"/>
      </rPr>
      <t>T</t>
    </r>
    <r>
      <rPr>
        <sz val="12"/>
        <color rgb="FF000000"/>
        <rFont val="Arial"/>
      </rPr>
      <t xml:space="preserve">he frequency of data collection is much </t>
    </r>
    <r>
      <rPr>
        <sz val="12"/>
        <color rgb="FF000000"/>
        <rFont val="Arial"/>
      </rPr>
      <t>lower</t>
    </r>
    <r>
      <rPr>
        <sz val="12"/>
        <color rgb="FF000000"/>
        <rFont val="Arial"/>
      </rPr>
      <t xml:space="preserve"> than the change in real-world trends and patterns. </t>
    </r>
  </si>
  <si>
    <r>
      <rPr>
        <sz val="12"/>
        <color rgb="FF000000"/>
        <rFont val="Arial"/>
      </rPr>
      <t xml:space="preserve">Not at all </t>
    </r>
    <r>
      <rPr>
        <sz val="12"/>
        <color rgb="FF000000"/>
        <rFont val="Arial"/>
      </rPr>
      <t>data is</t>
    </r>
    <r>
      <rPr>
        <sz val="12"/>
        <color rgb="FF000000"/>
        <rFont val="Arial"/>
      </rPr>
      <t xml:space="preserve"> trustworthy</t>
    </r>
  </si>
  <si>
    <r>
      <rPr>
        <sz val="12"/>
        <color rgb="FF000000"/>
        <rFont val="Arial"/>
      </rPr>
      <t>The data is c</t>
    </r>
    <r>
      <rPr>
        <sz val="12"/>
        <color rgb="FF000000"/>
        <rFont val="Arial"/>
      </rPr>
      <t xml:space="preserve">ompletely trustworthy </t>
    </r>
  </si>
  <si>
    <r>
      <rPr>
        <sz val="12"/>
        <color rgb="FF000000"/>
        <rFont val="Arial"/>
      </rPr>
      <t xml:space="preserve">Does the data in its current state have all the necessary attributes to create </t>
    </r>
    <r>
      <rPr>
        <sz val="12"/>
        <color rgb="FF000000"/>
        <rFont val="Arial"/>
      </rPr>
      <t xml:space="preserve">an </t>
    </r>
    <r>
      <rPr>
        <sz val="12"/>
        <color rgb="FF000000"/>
        <rFont val="Arial"/>
      </rPr>
      <t>impact on the business</t>
    </r>
    <r>
      <rPr>
        <sz val="12"/>
        <color rgb="FF000000"/>
        <rFont val="Arial"/>
      </rPr>
      <t>?</t>
    </r>
    <r>
      <rPr>
        <sz val="12"/>
        <color rgb="FF000000"/>
        <rFont val="Arial"/>
      </rPr>
      <t xml:space="preserve"> </t>
    </r>
  </si>
  <si>
    <r>
      <rPr>
        <sz val="12"/>
        <color rgb="FF000000"/>
        <rFont val="Arial"/>
      </rPr>
      <t>Even with cleaning and feature engineering</t>
    </r>
    <r>
      <rPr>
        <sz val="12"/>
        <color rgb="FF000000"/>
        <rFont val="Arial"/>
      </rPr>
      <t xml:space="preserve">, </t>
    </r>
    <r>
      <rPr>
        <sz val="12"/>
        <color rgb="FF000000"/>
        <rFont val="Arial"/>
      </rPr>
      <t>the data will not become valuable</t>
    </r>
  </si>
  <si>
    <r>
      <rPr>
        <sz val="12"/>
        <color rgb="FF000000"/>
        <rFont val="Arial"/>
      </rPr>
      <t>The d</t>
    </r>
    <r>
      <rPr>
        <sz val="12"/>
        <color rgb="FF000000"/>
        <rFont val="Arial"/>
      </rPr>
      <t>ata does not need any cleaning and feature engineering; it is valuable as is</t>
    </r>
  </si>
  <si>
    <r>
      <rPr>
        <b/>
        <sz val="12"/>
        <color rgb="FF000000"/>
        <rFont val="Arial"/>
      </rPr>
      <t xml:space="preserve">Assess the Infrastructure Available based on the Following </t>
    </r>
    <r>
      <rPr>
        <b/>
        <sz val="12"/>
        <color rgb="FF000000"/>
        <rFont val="Arial"/>
      </rPr>
      <t>Parameters</t>
    </r>
  </si>
  <si>
    <r>
      <rPr>
        <sz val="12"/>
        <color rgb="FF000000"/>
        <rFont val="Arial"/>
      </rPr>
      <t>Is the infrastructure necessary to store and manipulate the data available? To answer this</t>
    </r>
    <r>
      <rPr>
        <sz val="12"/>
        <color rgb="FF000000"/>
        <rFont val="Arial"/>
      </rPr>
      <t>,</t>
    </r>
    <r>
      <rPr>
        <sz val="12"/>
        <color rgb="FF000000"/>
        <rFont val="Arial"/>
      </rPr>
      <t xml:space="preserve"> think of the volume of the data. </t>
    </r>
  </si>
  <si>
    <r>
      <rPr>
        <sz val="12"/>
        <color rgb="FF000000"/>
        <rFont val="Arial"/>
      </rPr>
      <t xml:space="preserve">Do you need special hardware </t>
    </r>
    <r>
      <rPr>
        <sz val="12"/>
        <color rgb="FF000000"/>
        <rFont val="Arial"/>
      </rPr>
      <t>such as</t>
    </r>
    <r>
      <rPr>
        <sz val="12"/>
        <color rgb="FF000000"/>
        <rFont val="Arial"/>
      </rPr>
      <t xml:space="preserve"> GPUs and TPUs for processing the data? You can have these devices on premise or on cloud. </t>
    </r>
  </si>
  <si>
    <r>
      <rPr>
        <sz val="12"/>
        <color rgb="FF000000"/>
        <rFont val="Arial"/>
      </rPr>
      <t>Are n</t>
    </r>
    <r>
      <rPr>
        <sz val="12"/>
        <color rgb="FF000000"/>
        <rFont val="Arial"/>
      </rPr>
      <t xml:space="preserve">ecessary support functions </t>
    </r>
    <r>
      <rPr>
        <sz val="12"/>
        <color rgb="FF000000"/>
        <rFont val="Arial"/>
      </rPr>
      <t>such as</t>
    </r>
    <r>
      <rPr>
        <sz val="12"/>
        <color rgb="FF000000"/>
        <rFont val="Arial"/>
      </rPr>
      <t xml:space="preserve"> streaming data capability </t>
    </r>
    <r>
      <rPr>
        <sz val="12"/>
        <color rgb="FF000000"/>
        <rFont val="Arial"/>
      </rPr>
      <t>and</t>
    </r>
    <r>
      <rPr>
        <sz val="12"/>
        <color rgb="FF000000"/>
        <rFont val="Arial"/>
      </rPr>
      <t xml:space="preserve"> DBMS available? </t>
    </r>
  </si>
  <si>
    <r>
      <rPr>
        <sz val="12"/>
        <color rgb="FF000000"/>
        <rFont val="Arial"/>
      </rPr>
      <t xml:space="preserve">Everything is in </t>
    </r>
    <r>
      <rPr>
        <sz val="12"/>
        <color rgb="FF000000"/>
        <rFont val="Arial"/>
      </rPr>
      <t xml:space="preserve">a </t>
    </r>
    <r>
      <rPr>
        <sz val="12"/>
        <color rgb="FF000000"/>
        <rFont val="Arial"/>
      </rPr>
      <t>ready-to-use condition</t>
    </r>
  </si>
  <si>
    <t xml:space="preserve">The objective of this step is to rank the use cases based on the complexity involved.  </t>
  </si>
  <si>
    <t>Use Case</t>
  </si>
  <si>
    <t xml:space="preserve">Assess the Use Case Based on the Following Complexities </t>
  </si>
  <si>
    <t>Rating</t>
  </si>
  <si>
    <t>5 Stands For</t>
  </si>
  <si>
    <t xml:space="preserve">Data Complexity </t>
  </si>
  <si>
    <t xml:space="preserve">Is the data consistent (all the data points are in the same format and have same level of information) and incase of supervised algorithms the necessary labels are present? </t>
  </si>
  <si>
    <t>Strong No</t>
  </si>
  <si>
    <t>Strong Yes</t>
  </si>
  <si>
    <r>
      <rPr>
        <sz val="10"/>
        <color rgb="FF000000"/>
        <rFont val="Arial"/>
      </rPr>
      <t>Data labels will be the actual delivery dates</t>
    </r>
    <r>
      <rPr>
        <sz val="10"/>
        <color rgb="FF000000"/>
        <rFont val="Arial"/>
      </rPr>
      <t>. T</t>
    </r>
    <r>
      <rPr>
        <sz val="10"/>
        <color rgb="FF000000"/>
        <rFont val="Arial"/>
      </rPr>
      <t xml:space="preserve">he necessary attributes are also present in different tables. </t>
    </r>
  </si>
  <si>
    <r>
      <rPr>
        <sz val="12"/>
        <color rgb="FF000000"/>
        <rFont val="Arial"/>
      </rPr>
      <t xml:space="preserve">Is the data stored in the </t>
    </r>
    <r>
      <rPr>
        <sz val="12"/>
        <color rgb="FF000000"/>
        <rFont val="Arial"/>
      </rPr>
      <t>correct</t>
    </r>
    <r>
      <rPr>
        <sz val="12"/>
        <color rgb="FF000000"/>
        <rFont val="Arial"/>
      </rPr>
      <t xml:space="preserve"> environment and the </t>
    </r>
    <r>
      <rPr>
        <sz val="12"/>
        <color rgb="FF000000"/>
        <rFont val="Arial"/>
      </rPr>
      <t>correct</t>
    </r>
    <r>
      <rPr>
        <sz val="12"/>
        <color rgb="FF000000"/>
        <rFont val="Arial"/>
      </rPr>
      <t xml:space="preserve"> format?</t>
    </r>
  </si>
  <si>
    <t xml:space="preserve">The necessary data attributes are in different tables, and some data preparation will be needed to convert the data into a usable form. The inout variables and the out out variables need to be in the same table for an ML algorithm to work. In this case one the data is spread out. So some effort will be needed to bring all the data in usable form in one table. </t>
  </si>
  <si>
    <r>
      <rPr>
        <sz val="12"/>
        <color rgb="FF000000"/>
        <rFont val="Arial"/>
      </rPr>
      <t xml:space="preserve">Is the data </t>
    </r>
    <r>
      <rPr>
        <sz val="12"/>
        <color rgb="FF000000"/>
        <rFont val="Arial"/>
      </rPr>
      <t>on which</t>
    </r>
    <r>
      <rPr>
        <sz val="12"/>
        <color rgb="FF000000"/>
        <rFont val="Arial"/>
      </rPr>
      <t xml:space="preserve"> you plan to train similar to the data on which you will apply the model?</t>
    </r>
  </si>
  <si>
    <r>
      <rPr>
        <sz val="10"/>
        <color rgb="FF000000"/>
        <rFont val="Arial"/>
      </rPr>
      <t xml:space="preserve">Yes, the incoming data will also have </t>
    </r>
    <r>
      <rPr>
        <sz val="10"/>
        <color rgb="FF000000"/>
        <rFont val="Arial"/>
      </rPr>
      <t xml:space="preserve">a </t>
    </r>
    <r>
      <rPr>
        <sz val="10"/>
        <color rgb="FF000000"/>
        <rFont val="Arial"/>
      </rPr>
      <t xml:space="preserve">similar format. </t>
    </r>
  </si>
  <si>
    <t xml:space="preserve">Infrastructure Complexity </t>
  </si>
  <si>
    <t xml:space="preserve">How accessible is the hardware? Are special permissions needed to access the hardware? </t>
  </si>
  <si>
    <r>
      <rPr>
        <sz val="10"/>
        <color rgb="FF000000"/>
        <rFont val="Arial"/>
      </rPr>
      <t xml:space="preserve">The data </t>
    </r>
    <r>
      <rPr>
        <sz val="10"/>
        <color rgb="FF000000"/>
        <rFont val="Arial"/>
      </rPr>
      <t xml:space="preserve">size </t>
    </r>
    <r>
      <rPr>
        <sz val="10"/>
        <color rgb="FF000000"/>
        <rFont val="Arial"/>
      </rPr>
      <t xml:space="preserve">is not that </t>
    </r>
    <r>
      <rPr>
        <sz val="10"/>
        <color rgb="FF000000"/>
        <rFont val="Arial"/>
      </rPr>
      <t>huge</t>
    </r>
    <r>
      <rPr>
        <sz val="10"/>
        <color rgb="FF000000"/>
        <rFont val="Arial"/>
      </rPr>
      <t xml:space="preserve">. The sample given here </t>
    </r>
    <r>
      <rPr>
        <sz val="10"/>
        <color rgb="FF000000"/>
        <rFont val="Arial"/>
      </rPr>
      <t>includes</t>
    </r>
    <r>
      <rPr>
        <sz val="10"/>
        <color rgb="FF000000"/>
        <rFont val="Arial"/>
      </rPr>
      <t xml:space="preserve"> 99,000 observations. Hence, the training can be done on general purpose computers as well. </t>
    </r>
    <r>
      <rPr>
        <sz val="10"/>
        <color rgb="FF000000"/>
        <rFont val="Arial"/>
      </rPr>
      <t xml:space="preserve">Special equipment such as </t>
    </r>
    <r>
      <rPr>
        <sz val="10"/>
        <color rgb="FF000000"/>
        <rFont val="Arial"/>
      </rPr>
      <t xml:space="preserve">GPUs and high power CPUs is </t>
    </r>
    <r>
      <rPr>
        <sz val="10"/>
        <color rgb="FF000000"/>
        <rFont val="Arial"/>
      </rPr>
      <t>not needed</t>
    </r>
    <r>
      <rPr>
        <sz val="10"/>
        <color rgb="FF000000"/>
        <rFont val="Arial"/>
      </rPr>
      <t xml:space="preserve">. But the training will take time; it </t>
    </r>
    <r>
      <rPr>
        <sz val="10"/>
        <color rgb="FF000000"/>
        <rFont val="Arial"/>
      </rPr>
      <t>will not</t>
    </r>
    <r>
      <rPr>
        <sz val="10"/>
        <color rgb="FF000000"/>
        <rFont val="Arial"/>
      </rPr>
      <t xml:space="preserve"> be instantaneous. </t>
    </r>
  </si>
  <si>
    <t xml:space="preserve">Skills Complexity </t>
  </si>
  <si>
    <r>
      <rPr>
        <sz val="12"/>
        <color rgb="FF000000"/>
        <rFont val="Arial"/>
      </rPr>
      <t xml:space="preserve">Do you have access to the people with the </t>
    </r>
    <r>
      <rPr>
        <b/>
        <sz val="12"/>
        <color rgb="FF000000"/>
        <rFont val="Arial"/>
      </rPr>
      <t xml:space="preserve">technical skills </t>
    </r>
    <r>
      <rPr>
        <sz val="12"/>
        <color rgb="FF000000"/>
        <rFont val="Arial"/>
      </rPr>
      <t>necessary</t>
    </r>
    <r>
      <rPr>
        <b/>
        <sz val="12"/>
        <color rgb="FF000000"/>
        <rFont val="Arial"/>
      </rPr>
      <t xml:space="preserve"> </t>
    </r>
    <r>
      <rPr>
        <sz val="12"/>
        <color rgb="FF000000"/>
        <rFont val="Arial"/>
      </rPr>
      <t>to execute the project? This involves coding, data engineering, and model complexity, feature engineering, and deployment etc.</t>
    </r>
  </si>
  <si>
    <t xml:space="preserve">The solution will be a regression model; these models are usually not complex. You may face some issues with them when you try to improve their performance. 
Delivery date pridiction is a real time usecase. The model needs to predict the delivery dates as and when the order is placed. Creating a real time model will require specific technical skills.  </t>
  </si>
  <si>
    <r>
      <rPr>
        <sz val="12"/>
        <color rgb="FF000000"/>
        <rFont val="Arial"/>
      </rPr>
      <t xml:space="preserve">Do you have access to the people with </t>
    </r>
    <r>
      <rPr>
        <sz val="12"/>
        <color rgb="FF000000"/>
        <rFont val="Arial"/>
      </rPr>
      <t xml:space="preserve">the </t>
    </r>
    <r>
      <rPr>
        <b/>
        <sz val="12"/>
        <color rgb="FF000000"/>
        <rFont val="Arial"/>
      </rPr>
      <t>domain skill</t>
    </r>
    <r>
      <rPr>
        <sz val="12"/>
        <color rgb="FF000000"/>
        <rFont val="Arial"/>
      </rPr>
      <t xml:space="preserve"> </t>
    </r>
    <r>
      <rPr>
        <sz val="12"/>
        <color rgb="FF000000"/>
        <rFont val="Arial"/>
      </rPr>
      <t>necessary</t>
    </r>
    <r>
      <rPr>
        <sz val="12"/>
        <color rgb="FF000000"/>
        <rFont val="Arial"/>
      </rPr>
      <t xml:space="preserve"> to execute the project? This involves business leaders, subject matter experts</t>
    </r>
    <r>
      <rPr>
        <sz val="12"/>
        <color rgb="FF000000"/>
        <rFont val="Arial"/>
      </rPr>
      <t xml:space="preserve">, </t>
    </r>
    <r>
      <rPr>
        <sz val="12"/>
        <color rgb="FF000000"/>
        <rFont val="Arial"/>
      </rPr>
      <t>etc.</t>
    </r>
  </si>
  <si>
    <t xml:space="preserve">The leaders of the all the various verticals are available for discussion. They are veterans of the logistic industry and can be reached out in case domain help is needed. </t>
  </si>
  <si>
    <t>Downstream impact</t>
  </si>
  <si>
    <r>
      <rPr>
        <sz val="12"/>
        <color rgb="FF000000"/>
        <rFont val="Arial"/>
      </rPr>
      <t xml:space="preserve">Can the project </t>
    </r>
    <r>
      <rPr>
        <sz val="12"/>
        <color rgb="FF000000"/>
        <rFont val="Arial"/>
      </rPr>
      <t xml:space="preserve">be </t>
    </r>
    <r>
      <rPr>
        <sz val="12"/>
        <color rgb="FF000000"/>
        <rFont val="Arial"/>
      </rPr>
      <t xml:space="preserve">seamlessly integrated into the business process without any changes? </t>
    </r>
  </si>
  <si>
    <t xml:space="preserve">There is a mechanism in place to share the estimated delivery date with the customer. That system will need to be replaced with this ML model. </t>
  </si>
  <si>
    <t>Overall score</t>
  </si>
  <si>
    <t>Out of 20</t>
  </si>
  <si>
    <t>Higher is better</t>
  </si>
  <si>
    <t>Output</t>
  </si>
  <si>
    <r>
      <rPr>
        <sz val="14"/>
        <color rgb="FF000000"/>
        <rFont val="Arial"/>
      </rPr>
      <t>Based on the overall complexity score</t>
    </r>
    <r>
      <rPr>
        <sz val="14"/>
        <color rgb="FF000000"/>
        <rFont val="Arial"/>
      </rPr>
      <t xml:space="preserve">, </t>
    </r>
    <r>
      <rPr>
        <sz val="14"/>
        <color rgb="FF000000"/>
        <rFont val="Arial"/>
      </rPr>
      <t xml:space="preserve">rank the use cases. </t>
    </r>
  </si>
  <si>
    <r>
      <rPr>
        <sz val="12"/>
        <color rgb="FF000000"/>
        <rFont val="Arial"/>
      </rPr>
      <t xml:space="preserve">Is the data consistent and </t>
    </r>
    <r>
      <rPr>
        <sz val="12"/>
        <color rgb="FF000000"/>
        <rFont val="Arial"/>
      </rPr>
      <t xml:space="preserve">are </t>
    </r>
    <r>
      <rPr>
        <sz val="12"/>
        <color rgb="FF000000"/>
        <rFont val="Arial"/>
      </rPr>
      <t xml:space="preserve">the necessary labels are present? </t>
    </r>
  </si>
  <si>
    <r>
      <rPr>
        <sz val="12"/>
        <color rgb="FF000000"/>
        <rFont val="Arial"/>
      </rPr>
      <t xml:space="preserve">Is the data stored in the </t>
    </r>
    <r>
      <rPr>
        <sz val="12"/>
        <color rgb="FF000000"/>
        <rFont val="Arial"/>
      </rPr>
      <t>correct</t>
    </r>
    <r>
      <rPr>
        <sz val="12"/>
        <color rgb="FF000000"/>
        <rFont val="Arial"/>
      </rPr>
      <t xml:space="preserve"> environment and the </t>
    </r>
    <r>
      <rPr>
        <sz val="12"/>
        <color rgb="FF000000"/>
        <rFont val="Arial"/>
      </rPr>
      <t>correct</t>
    </r>
    <r>
      <rPr>
        <sz val="12"/>
        <color rgb="FF000000"/>
        <rFont val="Arial"/>
      </rPr>
      <t xml:space="preserve"> format?</t>
    </r>
  </si>
  <si>
    <r>
      <rPr>
        <sz val="12"/>
        <color rgb="FF000000"/>
        <rFont val="Arial"/>
      </rPr>
      <t xml:space="preserve">Is the data </t>
    </r>
    <r>
      <rPr>
        <sz val="12"/>
        <color rgb="FF000000"/>
        <rFont val="Arial"/>
      </rPr>
      <t>on which</t>
    </r>
    <r>
      <rPr>
        <sz val="12"/>
        <color rgb="FF000000"/>
        <rFont val="Arial"/>
      </rPr>
      <t xml:space="preserve"> you plan to train similar to the data on which you will apply the model?</t>
    </r>
  </si>
  <si>
    <r>
      <rPr>
        <sz val="12"/>
        <color rgb="FF000000"/>
        <rFont val="Arial"/>
      </rPr>
      <t xml:space="preserve">Do you have access to the people with </t>
    </r>
    <r>
      <rPr>
        <sz val="12"/>
        <color rgb="FF000000"/>
        <rFont val="Arial"/>
      </rPr>
      <t>the</t>
    </r>
    <r>
      <rPr>
        <sz val="12"/>
        <color rgb="FF000000"/>
        <rFont val="Arial"/>
      </rPr>
      <t xml:space="preserve"> </t>
    </r>
    <r>
      <rPr>
        <b/>
        <sz val="12"/>
        <color rgb="FF000000"/>
        <rFont val="Arial"/>
      </rPr>
      <t xml:space="preserve">technical skills </t>
    </r>
    <r>
      <rPr>
        <sz val="12"/>
        <color rgb="FF000000"/>
        <rFont val="Arial"/>
      </rPr>
      <t>necessary</t>
    </r>
    <r>
      <rPr>
        <b/>
        <sz val="12"/>
        <color rgb="FF000000"/>
        <rFont val="Arial"/>
      </rPr>
      <t xml:space="preserve"> </t>
    </r>
    <r>
      <rPr>
        <sz val="12"/>
        <color rgb="FF000000"/>
        <rFont val="Arial"/>
      </rPr>
      <t>to execute the project? This involves coding, data engineering</t>
    </r>
    <r>
      <rPr>
        <sz val="12"/>
        <color rgb="FF000000"/>
        <rFont val="Arial"/>
      </rPr>
      <t xml:space="preserve">, </t>
    </r>
    <r>
      <rPr>
        <sz val="12"/>
        <color rgb="FF000000"/>
        <rFont val="Arial"/>
      </rPr>
      <t>etc.</t>
    </r>
  </si>
  <si>
    <r>
      <rPr>
        <sz val="12"/>
        <color rgb="FF000000"/>
        <rFont val="Arial"/>
      </rPr>
      <t xml:space="preserve">Do you have access to the people with </t>
    </r>
    <r>
      <rPr>
        <sz val="12"/>
        <color rgb="FF000000"/>
        <rFont val="Arial"/>
      </rPr>
      <t xml:space="preserve">the </t>
    </r>
    <r>
      <rPr>
        <b/>
        <sz val="12"/>
        <color rgb="FF000000"/>
        <rFont val="Arial"/>
      </rPr>
      <t>domain skill</t>
    </r>
    <r>
      <rPr>
        <sz val="12"/>
        <color rgb="FF000000"/>
        <rFont val="Arial"/>
      </rPr>
      <t xml:space="preserve"> </t>
    </r>
    <r>
      <rPr>
        <sz val="12"/>
        <color rgb="FF000000"/>
        <rFont val="Arial"/>
      </rPr>
      <t>necessary</t>
    </r>
    <r>
      <rPr>
        <sz val="12"/>
        <color rgb="FF000000"/>
        <rFont val="Arial"/>
      </rPr>
      <t xml:space="preserve"> to execute the project? This involves business leaders, subject matter experts</t>
    </r>
    <r>
      <rPr>
        <sz val="12"/>
        <color rgb="FF000000"/>
        <rFont val="Arial"/>
      </rPr>
      <t xml:space="preserve">, </t>
    </r>
    <r>
      <rPr>
        <sz val="12"/>
        <color rgb="FF000000"/>
        <rFont val="Arial"/>
      </rPr>
      <t>etc.</t>
    </r>
  </si>
  <si>
    <r>
      <rPr>
        <sz val="12"/>
        <color rgb="FF000000"/>
        <rFont val="Arial"/>
      </rPr>
      <t xml:space="preserve">Can the project </t>
    </r>
    <r>
      <rPr>
        <sz val="12"/>
        <color rgb="FF000000"/>
        <rFont val="Arial"/>
      </rPr>
      <t xml:space="preserve">be </t>
    </r>
    <r>
      <rPr>
        <sz val="12"/>
        <color rgb="FF000000"/>
        <rFont val="Arial"/>
      </rPr>
      <t xml:space="preserve">seamlessly integrated into the business process without any changes? </t>
    </r>
  </si>
  <si>
    <r>
      <rPr>
        <sz val="14"/>
        <color rgb="FF000000"/>
        <rFont val="Arial"/>
      </rPr>
      <t>Based on the overall complexity score</t>
    </r>
    <r>
      <rPr>
        <sz val="14"/>
        <color rgb="FF000000"/>
        <rFont val="Arial"/>
      </rPr>
      <t xml:space="preserve">, </t>
    </r>
    <r>
      <rPr>
        <sz val="14"/>
        <color rgb="FF000000"/>
        <rFont val="Arial"/>
      </rPr>
      <t xml:space="preserve">rank the use cases. </t>
    </r>
  </si>
  <si>
    <t xml:space="preserve">The objective of this step is to classify the use cases based on their strategic importance. </t>
  </si>
  <si>
    <t xml:space="preserve">Company Strategic goals </t>
  </si>
  <si>
    <t xml:space="preserve">Increase the number of active customers  </t>
  </si>
  <si>
    <r>
      <rPr>
        <sz val="12"/>
        <color rgb="FF000000"/>
        <rFont val="Arial"/>
      </rPr>
      <t xml:space="preserve">Increase </t>
    </r>
    <r>
      <rPr>
        <sz val="12"/>
        <color rgb="FF000000"/>
        <rFont val="Arial"/>
      </rPr>
      <t xml:space="preserve">the </t>
    </r>
    <r>
      <rPr>
        <sz val="12"/>
        <color rgb="FF000000"/>
        <rFont val="Arial"/>
      </rPr>
      <t>revenue</t>
    </r>
  </si>
  <si>
    <t>Increase the efficiency of services</t>
  </si>
  <si>
    <t>Strategic Importance</t>
  </si>
  <si>
    <r>
      <rPr>
        <sz val="12"/>
        <color rgb="FF000000"/>
        <rFont val="Arial"/>
      </rPr>
      <t>Is the use case objective in line with the company</t>
    </r>
    <r>
      <rPr>
        <sz val="12"/>
        <color rgb="FF000000"/>
        <rFont val="Arial"/>
      </rPr>
      <t>'s</t>
    </r>
    <r>
      <rPr>
        <sz val="12"/>
        <color rgb="FF000000"/>
        <rFont val="Arial"/>
      </rPr>
      <t xml:space="preserve"> strategic goal? </t>
    </r>
  </si>
  <si>
    <t xml:space="preserve">The use case will improve process efficiency and increase customer delight. If the new tight timelines are found to be competitive, they will also prove to be successful. The use case will improve efficiency of delivery service and also increase the revenue by reducing the churn. So it is inline with two strategic goals. </t>
  </si>
  <si>
    <r>
      <rPr>
        <sz val="12"/>
        <color rgb="FF000000"/>
        <rFont val="Arial"/>
      </rPr>
      <t xml:space="preserve">Will executing the use case give you </t>
    </r>
    <r>
      <rPr>
        <sz val="12"/>
        <color rgb="FF000000"/>
        <rFont val="Arial"/>
      </rPr>
      <t xml:space="preserve">a </t>
    </r>
    <r>
      <rPr>
        <sz val="12"/>
        <color rgb="FF000000"/>
        <rFont val="Arial"/>
      </rPr>
      <t>competitive advantage?</t>
    </r>
  </si>
  <si>
    <t xml:space="preserve">It depends on how tight the time lines are. In this case, the predicted delivery time and the actual delivery time were very far part. So delivery date prediction use case will result in narrowing the gap between OLIST and its competitors. </t>
  </si>
  <si>
    <t>Does it support any ongoing transformation in the company?</t>
  </si>
  <si>
    <t xml:space="preserve">The overall movement in the company is to tighten the process. </t>
  </si>
  <si>
    <r>
      <rPr>
        <sz val="12"/>
        <color rgb="FF000000"/>
        <rFont val="Arial"/>
      </rPr>
      <t>Is the use case time sensitive? If it is not executed quickly</t>
    </r>
    <r>
      <rPr>
        <sz val="12"/>
        <color rgb="FF000000"/>
        <rFont val="Arial"/>
      </rPr>
      <t xml:space="preserve">, </t>
    </r>
    <r>
      <rPr>
        <sz val="12"/>
        <color rgb="FF000000"/>
        <rFont val="Arial"/>
      </rPr>
      <t xml:space="preserve">the opportunity </t>
    </r>
    <r>
      <rPr>
        <sz val="12"/>
        <color rgb="FF000000"/>
        <rFont val="Arial"/>
      </rPr>
      <t>might</t>
    </r>
    <r>
      <rPr>
        <sz val="12"/>
        <color rgb="FF000000"/>
        <rFont val="Arial"/>
      </rPr>
      <t xml:space="preserve"> be lost. </t>
    </r>
  </si>
  <si>
    <t xml:space="preserve">No, the improvement in the process will always result in the improvement in the company. If you had to pick between two projects with same feasibility, complexity and business value, you would pick the one with time sensitivity first. Since this is problem is not time sensitive low score is given. </t>
  </si>
  <si>
    <r>
      <rPr>
        <sz val="14"/>
        <color rgb="FF000000"/>
        <rFont val="Arial"/>
      </rPr>
      <t>Based on the strategic importance score</t>
    </r>
    <r>
      <rPr>
        <sz val="14"/>
        <color rgb="FF000000"/>
        <rFont val="Arial"/>
      </rPr>
      <t xml:space="preserve">, </t>
    </r>
    <r>
      <rPr>
        <sz val="14"/>
        <color rgb="FF000000"/>
        <rFont val="Arial"/>
      </rPr>
      <t xml:space="preserve">classify the use cases </t>
    </r>
    <r>
      <rPr>
        <sz val="14"/>
        <color rgb="FF000000"/>
        <rFont val="Arial"/>
      </rPr>
      <t xml:space="preserve">into those </t>
    </r>
    <r>
      <rPr>
        <sz val="14"/>
        <color rgb="FF000000"/>
        <rFont val="Arial"/>
      </rPr>
      <t xml:space="preserve">with high strategic importance and low strategic importance. </t>
    </r>
  </si>
  <si>
    <r>
      <rPr>
        <sz val="12"/>
        <color rgb="FF000000"/>
        <rFont val="Arial"/>
      </rPr>
      <t>Is the use case objective in line with the company</t>
    </r>
    <r>
      <rPr>
        <sz val="12"/>
        <color rgb="FF000000"/>
        <rFont val="Arial"/>
      </rPr>
      <t>'s</t>
    </r>
    <r>
      <rPr>
        <sz val="12"/>
        <color rgb="FF000000"/>
        <rFont val="Arial"/>
      </rPr>
      <t xml:space="preserve"> strategic goal? </t>
    </r>
  </si>
  <si>
    <r>
      <rPr>
        <sz val="12"/>
        <color rgb="FF000000"/>
        <rFont val="Arial"/>
      </rPr>
      <t xml:space="preserve">Will executing the use case give you </t>
    </r>
    <r>
      <rPr>
        <sz val="12"/>
        <color rgb="FF000000"/>
        <rFont val="Arial"/>
      </rPr>
      <t xml:space="preserve">a </t>
    </r>
    <r>
      <rPr>
        <sz val="12"/>
        <color rgb="FF000000"/>
        <rFont val="Arial"/>
      </rPr>
      <t>competitive advantage?</t>
    </r>
  </si>
  <si>
    <r>
      <rPr>
        <sz val="12"/>
        <color rgb="FF000000"/>
        <rFont val="Arial"/>
      </rPr>
      <t>Is the use case time sensitive? If it is not executed quickly</t>
    </r>
    <r>
      <rPr>
        <sz val="12"/>
        <color rgb="FF000000"/>
        <rFont val="Arial"/>
      </rPr>
      <t xml:space="preserve">, </t>
    </r>
    <r>
      <rPr>
        <sz val="12"/>
        <color rgb="FF000000"/>
        <rFont val="Arial"/>
      </rPr>
      <t xml:space="preserve">the opportunity </t>
    </r>
    <r>
      <rPr>
        <sz val="12"/>
        <color rgb="FF000000"/>
        <rFont val="Arial"/>
      </rPr>
      <t>might</t>
    </r>
    <r>
      <rPr>
        <sz val="12"/>
        <color rgb="FF000000"/>
        <rFont val="Arial"/>
      </rPr>
      <t xml:space="preserve"> be lost. </t>
    </r>
  </si>
  <si>
    <t xml:space="preserve">Calculate the monetary impact of each use case. </t>
  </si>
  <si>
    <t xml:space="preserve">Use Case </t>
  </si>
  <si>
    <t>Monetary value</t>
  </si>
  <si>
    <r>
      <rPr>
        <sz val="12"/>
        <color rgb="FF000000"/>
        <rFont val="Arial"/>
      </rPr>
      <t xml:space="preserve">Calculate the monetary impact of the use case. This assessment will be based on estimates and assumptions. </t>
    </r>
    <r>
      <rPr>
        <sz val="12"/>
        <color rgb="FF000000"/>
        <rFont val="Arial"/>
      </rPr>
      <t>This will not</t>
    </r>
    <r>
      <rPr>
        <sz val="12"/>
        <color rgb="FF000000"/>
        <rFont val="Arial"/>
      </rPr>
      <t xml:space="preserve"> be exact, but try to be as precise as possible. Consider the following factors while estimating the impact. </t>
    </r>
  </si>
  <si>
    <t>Add actual numbers here</t>
  </si>
  <si>
    <t xml:space="preserve">Average cost </t>
  </si>
  <si>
    <t>Direct cost</t>
  </si>
  <si>
    <t>Indirect cost</t>
  </si>
  <si>
    <t xml:space="preserve">Opportunity cost </t>
  </si>
  <si>
    <t>Increasing revenue</t>
  </si>
  <si>
    <t xml:space="preserve">Cross-sell / Upselling </t>
  </si>
  <si>
    <t xml:space="preserve">Increase in the customer base </t>
  </si>
  <si>
    <t xml:space="preserve">Revenue per user </t>
  </si>
  <si>
    <t xml:space="preserve">New product </t>
  </si>
  <si>
    <r>
      <rPr>
        <sz val="12"/>
        <color rgb="FF000000"/>
        <rFont val="Arial"/>
      </rPr>
      <t>Based on the monetary impact</t>
    </r>
    <r>
      <rPr>
        <sz val="12"/>
        <color rgb="FF000000"/>
        <rFont val="Arial"/>
      </rPr>
      <t>,</t>
    </r>
    <r>
      <rPr>
        <sz val="12"/>
        <color rgb="FF000000"/>
        <rFont val="Arial"/>
      </rPr>
      <t xml:space="preserve"> rank the use cases. </t>
    </r>
  </si>
  <si>
    <r>
      <rPr>
        <sz val="12"/>
        <color rgb="FF000000"/>
        <rFont val="Arial"/>
      </rPr>
      <t xml:space="preserve">Calculate the monetary impact of the use case. This assessment will be based on estimates and assumptions. </t>
    </r>
    <r>
      <rPr>
        <sz val="12"/>
        <color rgb="FF000000"/>
        <rFont val="Arial"/>
      </rPr>
      <t>This will not</t>
    </r>
    <r>
      <rPr>
        <sz val="12"/>
        <color rgb="FF000000"/>
        <rFont val="Arial"/>
      </rPr>
      <t xml:space="preserve"> be exact, but try to be as precise as possible. Consider the following factors while estimating the impact. </t>
    </r>
  </si>
  <si>
    <t>May be</t>
  </si>
  <si>
    <r>
      <rPr>
        <sz val="12"/>
        <color rgb="FF000000"/>
        <rFont val="Arial"/>
      </rPr>
      <t>Based on the monetary impact</t>
    </r>
    <r>
      <rPr>
        <sz val="12"/>
        <color rgb="FF000000"/>
        <rFont val="Arial"/>
      </rPr>
      <t>,</t>
    </r>
    <r>
      <rPr>
        <sz val="12"/>
        <color rgb="FF000000"/>
        <rFont val="Arial"/>
      </rPr>
      <t xml:space="preserve"> rank the use cases. </t>
    </r>
  </si>
  <si>
    <t>Only fill the raw scores</t>
  </si>
  <si>
    <r>
      <rPr>
        <b/>
        <sz val="12"/>
        <color theme="1"/>
        <rFont val="Arial"/>
      </rPr>
      <t>Note</t>
    </r>
    <r>
      <rPr>
        <sz val="12"/>
        <color theme="1"/>
        <rFont val="Arial"/>
      </rPr>
      <t xml:space="preserve">: Values filled are for demonstration. Please clear the raw score table and fill it with your values. </t>
    </r>
  </si>
  <si>
    <t>Raw Scores</t>
  </si>
  <si>
    <t>Normalised Scores</t>
  </si>
  <si>
    <r>
      <rPr>
        <b/>
        <sz val="10"/>
        <color rgb="FF000000"/>
        <rFont val="Arial"/>
      </rPr>
      <t xml:space="preserve">Use </t>
    </r>
    <r>
      <rPr>
        <b/>
        <sz val="10"/>
        <color rgb="FF000000"/>
        <rFont val="Arial"/>
      </rPr>
      <t>C</t>
    </r>
    <r>
      <rPr>
        <b/>
        <sz val="10"/>
        <color rgb="FF000000"/>
        <rFont val="Arial"/>
      </rPr>
      <t>ase</t>
    </r>
  </si>
  <si>
    <r>
      <rPr>
        <b/>
        <sz val="10"/>
        <color rgb="FF000000"/>
        <rFont val="Arial"/>
      </rPr>
      <t xml:space="preserve">Maximum </t>
    </r>
    <r>
      <rPr>
        <b/>
        <sz val="10"/>
        <color rgb="FF000000"/>
        <rFont val="Arial"/>
      </rPr>
      <t>P</t>
    </r>
    <r>
      <rPr>
        <b/>
        <sz val="10"/>
        <color rgb="FF000000"/>
        <rFont val="Arial"/>
      </rPr>
      <t xml:space="preserve">ossible </t>
    </r>
    <r>
      <rPr>
        <b/>
        <sz val="10"/>
        <color rgb="FF000000"/>
        <rFont val="Arial"/>
      </rPr>
      <t>S</t>
    </r>
    <r>
      <rPr>
        <b/>
        <sz val="10"/>
        <color rgb="FF000000"/>
        <rFont val="Arial"/>
      </rPr>
      <t>core</t>
    </r>
  </si>
  <si>
    <t>Minimum Score</t>
  </si>
  <si>
    <t>Use Case 1</t>
  </si>
  <si>
    <t>Use Case 2</t>
  </si>
  <si>
    <t>Use Case 3</t>
  </si>
  <si>
    <t>Use Case 4</t>
  </si>
  <si>
    <t>Use Case 5</t>
  </si>
  <si>
    <t>Use Case 6</t>
  </si>
  <si>
    <t>Feasibility Score</t>
  </si>
  <si>
    <t>Complexity Rating</t>
  </si>
  <si>
    <t>Strategic Value</t>
  </si>
  <si>
    <t>Business Value (Enter in numericals the business value generated)</t>
  </si>
  <si>
    <t xml:space="preserve">Is there enough variety in the data to ensure that the model learns properly? While too much variation might signal noise, too little variation will not give the model enough exposure. </t>
  </si>
  <si>
    <t>Data is only few MBs</t>
  </si>
  <si>
    <t>I can use few opensource</t>
  </si>
  <si>
    <t>No</t>
  </si>
  <si>
    <t>Customer Acquisition Cost Optimisation</t>
  </si>
  <si>
    <t xml:space="preserve">not much of a data for Fraud analysis </t>
  </si>
  <si>
    <t xml:space="preserve">Avaiilable for current data volume </t>
  </si>
  <si>
    <t>For Fraud we need real time data to stop fraud</t>
  </si>
  <si>
    <t xml:space="preserve">We can get the revview data to get the feedback    
we can also get the product and seller data </t>
  </si>
  <si>
    <t>Use case 1</t>
  </si>
  <si>
    <t>Use case 2</t>
  </si>
  <si>
    <t>Use case 3</t>
  </si>
  <si>
    <t>Use case 4</t>
  </si>
  <si>
    <t>Use case 5</t>
  </si>
  <si>
    <t>Use case 6</t>
  </si>
  <si>
    <t xml:space="preserve">this use case will help understand customer painpoint and resolve the same on a timely manner and indirectly will increase the same and retain customer </t>
  </si>
  <si>
    <t>Is will be in par with Amazon</t>
  </si>
  <si>
    <t xml:space="preserve">No , it depends on the review and the outcome of the analysis </t>
  </si>
  <si>
    <t xml:space="preserve">If the identified problem can be solved it will help the company </t>
  </si>
  <si>
    <t xml:space="preserve">no really majority of the custome are not repeat if we can make it repeat that will be great </t>
  </si>
  <si>
    <t>if we can retain the customer we will be #1 in Brazil and its in line with company objective</t>
  </si>
  <si>
    <t xml:space="preserve">No much of data is provided </t>
  </si>
  <si>
    <t>Yes if the company can get more customer with less ad or other expenses</t>
  </si>
  <si>
    <t>Its not time sensitive</t>
  </si>
  <si>
    <t>Volume of data is less</t>
  </si>
  <si>
    <t>company is in growth period and its not worth speding time and effort on Fraud Detection</t>
  </si>
  <si>
    <t xml:space="preserve">Price optimisation will give OLIST a  major competative advantage and make it a repeat loyal customer </t>
  </si>
  <si>
    <t xml:space="preserve">not sure if it supports ongoing current transformation </t>
  </si>
  <si>
    <t xml:space="preserve">May be </t>
  </si>
  <si>
    <r>
      <rPr>
        <b/>
        <sz val="12"/>
        <color theme="4" tint="-0.249977111117893"/>
        <rFont val="Arial"/>
        <family val="2"/>
        <scheme val="minor"/>
      </rPr>
      <t xml:space="preserve">Prioritisation of use cases. </t>
    </r>
    <r>
      <rPr>
        <sz val="12"/>
        <color theme="1"/>
        <rFont val="Arial"/>
        <family val="2"/>
        <scheme val="minor"/>
      </rPr>
      <t xml:space="preserve">
1. Perform a scoring exercise on all available use cases. 
2. Scale each score to a maximum of 1. 
3. Arrange the use cases in the descending order of total score. 
4. There you have your priority order. </t>
    </r>
  </si>
  <si>
    <t>Priority</t>
  </si>
  <si>
    <t>The volume of data produced is sufficient for the ML/AI solution, providing ample data to analyze and extract meaningful insights.</t>
  </si>
  <si>
    <t>The data exhibits a good level of variety, allowing the model to learn properly and consider different scenarios and variations.</t>
  </si>
  <si>
    <t>The data is recorded at a frequency that adequately captures the necessary information to track changes in trends and patterns.</t>
  </si>
  <si>
    <t xml:space="preserve">The employees follow a strict protocol for entering data in the system. It is likely that no error is made in data entry, but one can not discount human error. </t>
  </si>
  <si>
    <t>The data may require extensive cleaning and feature engineering to enhance its value and align it with the problem being solved.</t>
  </si>
  <si>
    <t>The volume of data produced for sentiment analysis is limited, covering a period of 2 years. More data may be needed to capture a broader range of sentiments and trends accurately.</t>
  </si>
  <si>
    <t>The data may have limitations in terms of representing a diverse range of sentiments. It predominantly includes comments from customers who are unhappy, which may skew the analysis towards negative sentiments.</t>
  </si>
  <si>
    <t>The data collection frequency is sufficient to capture timely changes in customer sentiments, allowing for up-to-date analysis.</t>
  </si>
  <si>
    <t>The data has been obtained directly from customers without any manipulation, ensuring its reliability and trustworthiness.</t>
  </si>
  <si>
    <t>The data may require cleaning and feature engineering to enhance its value and align it with the business goals. However, the existing data is considered valuable as it is.</t>
  </si>
  <si>
    <t>The volume of data produced for customer churn analysis may not be sufficient to capture all the nuances and patterns related to customer churn. More data may be needed to ensure a comprehensive analysis.</t>
  </si>
  <si>
    <t>The available data may have limitations in terms of representing the full range of customer behaviors and characteristics that contribute to churn. It is important to ensure that the data includes a diverse set of customers to ensure accurate modeling.</t>
  </si>
  <si>
    <t>The data collection frequency is sufficient to capture timely changes in customer behavior, allowing for up-to-date analysis and identification of potential churn patterns.</t>
  </si>
  <si>
    <t>The data used for customer churn analysis is considered reliable and trustworthy, ensuring accurate analysis and decision-making.</t>
  </si>
  <si>
    <t>The available data may require significant cleaning and feature engineering efforts to extract valuable insights related to customer churn. The existing data may have limitations in terms of capturing all the necessary attributes for impactful analysis.</t>
  </si>
  <si>
    <t>The volume of data available may not be sufficient to capture all the necessary trends and patterns related to customer acquisition cost optimization. It is important to ensure that a significant amount of data is available to accurately model and analyze the cost optimization process.</t>
  </si>
  <si>
    <t>The data may lack the necessary variety to ensure that the model learns properly. It is important to have a diverse range of data that represents different scenarios and variations in customer acquisition to ensure the model can capture the complexities of the cost optimization process.</t>
  </si>
  <si>
    <t>The frequency of data recording may not be high enough to capture all the necessary data points related to customer acquisition. It is important to ensure that the data collection process is frequent enough to capture the dynamic changes in customer acquisition trends and patterns.</t>
  </si>
  <si>
    <t>The trustworthiness of the data may be questionable, which can impact the reliability and accuracy of the cost optimization analysis. It is important to validate and ensure the integrity of the data sources to have reliable information for the optimization process.</t>
  </si>
  <si>
    <t>The data in its current state is valuable and does not require extensive cleaning or feature engineering to create an impact on the business. This is a positive factor in terms of feasibility.</t>
  </si>
  <si>
    <t>The volume of data available may not be sufficient to capture all the necessary trends and patterns related to fraud detection. It is important to ensure that a significant amount of data is available to accurately model and analyze fraudulent activities.</t>
  </si>
  <si>
    <t xml:space="preserve">The data may lack the necessary variety to ensure that the model learns properly. It is important to have a diverse range of data that represents different types of fraudulent activities to train the model effectively.
</t>
  </si>
  <si>
    <t>The frequency of data recording may not be high enough to capture all the necessary data points related to fraud detection. It is important to ensure that the data collection process is frequent enough to capture the dynamic changes in fraudulent behaviors.</t>
  </si>
  <si>
    <t>he data in its current state is valuable and does not require extensive cleaning or feature engineering to create an impact on the business. This is a positive factor in terms of feasibility.</t>
  </si>
  <si>
    <t>not much of a data for Price optimization</t>
  </si>
  <si>
    <t xml:space="preserve"> The sentiment analysis project may not be seamlessly integrated into the business process without any changes. This can require additional adjustments or modifications to effectively incorporate sentiment analysis insights.</t>
  </si>
  <si>
    <t>Access to people with domain expertise, such as business leaders and subject matter experts, may be limited. This can affect the interpretation and application of sentiment analysis results in the business context.</t>
  </si>
  <si>
    <t>Access to people with the necessary technical skills, such as coding and data engineering, may be limited. This can hinder the execution of the sentiment analysis project.</t>
  </si>
  <si>
    <t>The churn prediction project can be seamlessly integrated into the business process without requiring major changes. This ensures smooth adoption and implementation.</t>
  </si>
  <si>
    <t>The required hardware or infrastructure may not be easily accessible or may require special permissions. This can impact the execution of the churn prediction project.</t>
  </si>
  <si>
    <t>The cost optimization project can be seamlessly integrated into the business process without requiring major changes. This ensures smooth adoption and implementation</t>
  </si>
  <si>
    <t xml:space="preserve"> The data used for training the cost optimization model may not be similar to the data it will be applied to. This can affect the model's performance in real-world scenarios.</t>
  </si>
  <si>
    <t>The fraud detection project can be seamlessly integrated into the business process without requiring major changes. This ensures smooth adoption and implementation.</t>
  </si>
  <si>
    <t>volume is less, The data used for training the fraud detection model may not be similar to the data it will be applied to. This can affect the model's performance in real-world scenarios.</t>
  </si>
  <si>
    <t>The price optimization project can be seamlessly integrated into the business process without requiring major changes. This ensures smooth adoption and implementation.</t>
  </si>
  <si>
    <t>Access to people with the necessary technical skills, such as coding and data engineering, is available. This ensures the project can be executed effectively.</t>
  </si>
  <si>
    <t>Daily Average</t>
  </si>
  <si>
    <t>Avg Revenue</t>
  </si>
  <si>
    <t>Reduction in Acquisition cost</t>
  </si>
  <si>
    <t>per day</t>
  </si>
  <si>
    <t xml:space="preserve">1% of the today revenue can saved </t>
  </si>
  <si>
    <t>Roughly around 856 daily</t>
  </si>
  <si>
    <t>around 1.5 increase in sale</t>
  </si>
  <si>
    <t>BR per day</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</si>
  <si>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</si>
  <si>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</si>
  <si>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</si>
  <si>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</si>
  <si>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</si>
  <si>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</si>
  <si>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</si>
  <si>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</si>
  <si>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</si>
  <si>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</si>
  <si>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</si>
  <si>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</si>
  <si>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</si>
  <si>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</si>
  <si>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</si>
  <si>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</si>
  <si>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</si>
  <si>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</si>
  <si>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</si>
  <si>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Saving calcualtion for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</si>
</sst>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33" x14ac:knownFonts="1">
    <font>
      <sz val="10"/>
      <color rgb="FF000000"/>
      <name val="Arial"/>
      <scheme val="minor"/>
    </font>
    <font>
      <b/>
      <sz val="14"/>
      <color theme="1"/>
      <name val="Arial"/>
      <scheme val="minor"/>
    </font>
    <font>
      <sz val="12"/>
      <color theme="1"/>
      <name val="Arial"/>
      <scheme val="minor"/>
    </font>
    <font>
      <sz val="12"/>
      <color rgb="FF000000"/>
      <name val="Arial"/>
      <scheme val="minor"/>
    </font>
    <font>
      <sz val="11"/>
      <color rgb="FF000000"/>
      <name val="Calibri"/>
    </font>
    <font>
      <sz val="11"/>
      <color theme="1"/>
      <name val="Calibri"/>
    </font>
    <font>
      <b/>
      <sz val="11"/>
      <color rgb="FF000000"/>
      <name val="Calibri"/>
    </font>
    <font>
      <sz val="10"/>
      <color rgb="FF000000"/>
      <name val="Arial"/>
      <scheme val="minor"/>
    </font>
    <font>
      <b/>
      <sz val="14"/>
      <color rgb="FF000000"/>
      <name val="Arial"/>
      <scheme val="minor"/>
    </font>
    <font>
      <sz val="14"/>
      <color rgb="FF000000"/>
      <name val="Arial"/>
      <scheme val="minor"/>
    </font>
    <font>
      <u/>
      <sz val="14"/>
      <color rgb="FF000000"/>
      <name val="Arial"/>
    </font>
    <font>
      <b/>
      <sz val="12"/>
      <color rgb="FF000000"/>
      <name val="Arial"/>
      <scheme val="minor"/>
    </font>
    <font>
      <b/>
      <sz val="10"/>
      <color rgb="FF000000"/>
      <name val="Arial"/>
      <scheme val="minor"/>
    </font>
    <font>
      <sz val="10"/>
      <color theme="1"/>
      <name val="Arial"/>
      <scheme val="minor"/>
    </font>
    <font>
      <sz val="12"/>
      <color rgb="FF000000"/>
      <name val="Arial"/>
    </font>
    <font>
      <sz val="10"/>
      <name val="Arial"/>
    </font>
    <font>
      <b/>
      <sz val="10"/>
      <color theme="1"/>
      <name val="Arial"/>
      <scheme val="minor"/>
    </font>
    <font>
      <b/>
      <sz val="12"/>
      <color rgb="FF000000"/>
      <name val="Arial"/>
    </font>
    <font>
      <sz val="10"/>
      <color rgb="FF000000"/>
      <name val="Arial"/>
    </font>
    <font>
      <sz val="14"/>
      <color rgb="FF000000"/>
      <name val="Arial"/>
    </font>
    <font>
      <b/>
      <sz val="12"/>
      <color theme="1"/>
      <name val="Arial"/>
    </font>
    <font>
      <sz val="12"/>
      <color theme="1"/>
      <name val="Arial"/>
    </font>
    <font>
      <b/>
      <sz val="10"/>
      <color rgb="FF000000"/>
      <name val="Arial"/>
    </font>
    <font>
      <sz val="12"/>
      <color rgb="FF000000"/>
      <name val="Arial"/>
      <family val="2"/>
    </font>
    <font>
      <sz val="10"/>
      <color rgb="FF000000"/>
      <name val="Arial"/>
      <family val="2"/>
      <scheme val="minor"/>
    </font>
    <font>
      <sz val="14"/>
      <color rgb="FF000000"/>
      <name val="Arial"/>
      <family val="2"/>
      <scheme val="minor"/>
    </font>
    <font>
      <b/>
      <sz val="14"/>
      <color rgb="FF000000"/>
      <name val="Arial"/>
      <family val="2"/>
      <scheme val="minor"/>
    </font>
    <font>
      <sz val="12"/>
      <color rgb="FF000000"/>
      <name val="Arial"/>
      <family val="2"/>
      <scheme val="minor"/>
    </font>
    <font>
      <b/>
      <sz val="10"/>
      <color rgb="FF000000"/>
      <name val="Arial"/>
      <family val="2"/>
      <scheme val="minor"/>
    </font>
    <font>
      <sz val="12"/>
      <color theme="1"/>
      <name val="Arial"/>
      <family val="2"/>
      <scheme val="minor"/>
    </font>
    <font>
      <b/>
      <sz val="12"/>
      <color theme="4" tint="-0.249977111117893"/>
      <name val="Arial"/>
      <family val="2"/>
      <scheme val="minor"/>
    </font>
    <font>
      <sz val="9"/>
      <color theme="1"/>
      <name val="Arial"/>
      <family val="2"/>
    </font>
    <font>
      <sz val="10"/>
      <color theme="4" tint="-0.249977111117893"/>
      <name val="Arial"/>
      <family val="2"/>
      <scheme val="minor"/>
    </font>
  </fonts>
  <fills count="8">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FFFFFF"/>
        <bgColor indexed="64"/>
      </patternFill>
    </fill>
    <fill>
      <patternFill patternType="solid">
        <fgColor rgb="FFFFFF00"/>
        <bgColor indexed="64"/>
      </patternFill>
    </fill>
  </fills>
  <borders count="4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style="medium">
        <color rgb="FF000000"/>
      </bottom>
      <diagonal/>
    </border>
    <border>
      <left/>
      <right style="thin">
        <color rgb="FF000000"/>
      </right>
      <top style="thin">
        <color rgb="FF000000"/>
      </top>
      <bottom/>
      <diagonal/>
    </border>
    <border>
      <left/>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medium">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44" fontId="7" fillId="0" borderId="0" applyFont="0" applyFill="0" applyBorder="0" applyAlignment="0" applyProtection="0"/>
  </cellStyleXfs>
  <cellXfs count="142">
    <xf numFmtId="0" fontId="0" fillId="0" borderId="0" xfId="0"/>
    <xf numFmtId="0" fontId="1" fillId="0" borderId="0" xfId="0" applyFont="1"/>
    <xf numFmtId="0" fontId="2" fillId="0" borderId="0" xfId="0" applyFont="1"/>
    <xf numFmtId="0" fontId="3" fillId="0" borderId="1" xfId="0" applyFont="1" applyBorder="1" applyAlignment="1">
      <alignment wrapText="1"/>
    </xf>
    <xf numFmtId="0" fontId="4" fillId="0" borderId="1" xfId="0" applyFont="1" applyBorder="1" applyAlignment="1">
      <alignment vertical="center" wrapText="1"/>
    </xf>
    <xf numFmtId="0" fontId="4" fillId="0" borderId="0" xfId="0" applyFont="1" applyAlignment="1">
      <alignment vertical="center" wrapText="1"/>
    </xf>
    <xf numFmtId="0" fontId="5" fillId="0" borderId="0" xfId="0" applyFont="1" applyAlignment="1">
      <alignment vertical="center"/>
    </xf>
    <xf numFmtId="0" fontId="4" fillId="0" borderId="0" xfId="0" applyFont="1" applyAlignment="1">
      <alignment vertical="center"/>
    </xf>
    <xf numFmtId="0" fontId="4" fillId="0" borderId="1" xfId="0" applyFont="1" applyBorder="1" applyAlignment="1">
      <alignment horizontal="right" vertical="center" wrapText="1"/>
    </xf>
    <xf numFmtId="0" fontId="6" fillId="0" borderId="1" xfId="0" applyFont="1" applyBorder="1" applyAlignment="1">
      <alignment vertical="center" wrapText="1"/>
    </xf>
    <xf numFmtId="0" fontId="6" fillId="0" borderId="2" xfId="0" applyFont="1" applyBorder="1" applyAlignment="1">
      <alignment vertical="center" wrapText="1"/>
    </xf>
    <xf numFmtId="0" fontId="4" fillId="0" borderId="3" xfId="0" applyFont="1" applyBorder="1" applyAlignment="1">
      <alignment horizontal="right" vertical="center" wrapText="1"/>
    </xf>
    <xf numFmtId="0" fontId="4" fillId="0" borderId="4" xfId="0" applyFont="1" applyBorder="1" applyAlignment="1">
      <alignment vertical="center" wrapText="1"/>
    </xf>
    <xf numFmtId="0" fontId="7" fillId="0" borderId="0" xfId="0" applyFont="1"/>
    <xf numFmtId="0" fontId="3" fillId="0" borderId="0" xfId="0" applyFont="1" applyAlignment="1">
      <alignment wrapText="1"/>
    </xf>
    <xf numFmtId="0" fontId="8" fillId="0" borderId="0" xfId="0" applyFont="1" applyAlignment="1">
      <alignment wrapText="1"/>
    </xf>
    <xf numFmtId="0" fontId="9" fillId="0" borderId="0" xfId="0" applyFont="1"/>
    <xf numFmtId="0" fontId="7" fillId="0" borderId="5" xfId="0" applyFont="1" applyBorder="1"/>
    <xf numFmtId="0" fontId="11" fillId="0" borderId="7" xfId="0" applyFont="1" applyBorder="1"/>
    <xf numFmtId="0" fontId="11" fillId="0" borderId="7" xfId="0" applyFont="1" applyBorder="1" applyAlignment="1">
      <alignment wrapText="1"/>
    </xf>
    <xf numFmtId="0" fontId="11" fillId="0" borderId="8" xfId="0" applyFont="1" applyBorder="1" applyAlignment="1">
      <alignment wrapText="1"/>
    </xf>
    <xf numFmtId="0" fontId="12" fillId="0" borderId="0" xfId="0" applyFont="1"/>
    <xf numFmtId="0" fontId="11" fillId="0" borderId="9" xfId="0" applyFont="1" applyBorder="1"/>
    <xf numFmtId="0" fontId="3" fillId="0" borderId="10" xfId="0" applyFont="1" applyBorder="1" applyAlignment="1">
      <alignment wrapText="1"/>
    </xf>
    <xf numFmtId="0" fontId="3" fillId="0" borderId="10" xfId="0" applyFont="1" applyBorder="1"/>
    <xf numFmtId="0" fontId="3" fillId="0" borderId="11" xfId="0" applyFont="1" applyBorder="1" applyAlignment="1">
      <alignment wrapText="1"/>
    </xf>
    <xf numFmtId="0" fontId="7" fillId="0" borderId="0" xfId="0" applyFont="1" applyAlignment="1">
      <alignment wrapText="1"/>
    </xf>
    <xf numFmtId="0" fontId="11" fillId="0" borderId="12" xfId="0" applyFont="1" applyBorder="1"/>
    <xf numFmtId="0" fontId="3" fillId="0" borderId="13" xfId="0" applyFont="1" applyBorder="1" applyAlignment="1">
      <alignment wrapText="1"/>
    </xf>
    <xf numFmtId="0" fontId="3" fillId="0" borderId="13" xfId="0" applyFont="1" applyBorder="1"/>
    <xf numFmtId="0" fontId="3" fillId="0" borderId="14" xfId="0" applyFont="1" applyBorder="1" applyAlignment="1">
      <alignment wrapText="1"/>
    </xf>
    <xf numFmtId="164" fontId="7" fillId="0" borderId="0" xfId="0" applyNumberFormat="1" applyFont="1"/>
    <xf numFmtId="0" fontId="7" fillId="0" borderId="15" xfId="0" applyFont="1" applyBorder="1" applyAlignment="1">
      <alignment wrapText="1"/>
    </xf>
    <xf numFmtId="0" fontId="11" fillId="0" borderId="16" xfId="0" applyFont="1" applyBorder="1" applyAlignment="1">
      <alignment wrapText="1"/>
    </xf>
    <xf numFmtId="0" fontId="11" fillId="0" borderId="17" xfId="0" applyFont="1" applyBorder="1" applyAlignment="1">
      <alignment wrapText="1"/>
    </xf>
    <xf numFmtId="0" fontId="3" fillId="0" borderId="0" xfId="0" applyFont="1"/>
    <xf numFmtId="0" fontId="7" fillId="2" borderId="0" xfId="0" applyFont="1" applyFill="1"/>
    <xf numFmtId="0" fontId="13" fillId="2" borderId="0" xfId="0" applyFont="1" applyFill="1"/>
    <xf numFmtId="0" fontId="9" fillId="0" borderId="0" xfId="0" applyFont="1" applyAlignment="1">
      <alignment wrapText="1"/>
    </xf>
    <xf numFmtId="0" fontId="11" fillId="0" borderId="18" xfId="0" applyFont="1" applyBorder="1"/>
    <xf numFmtId="0" fontId="11" fillId="0" borderId="19" xfId="0" applyFont="1" applyBorder="1"/>
    <xf numFmtId="0" fontId="9" fillId="0" borderId="20" xfId="0" applyFont="1" applyBorder="1" applyAlignment="1">
      <alignment wrapText="1"/>
    </xf>
    <xf numFmtId="0" fontId="3" fillId="0" borderId="21" xfId="0" applyFont="1" applyBorder="1" applyAlignment="1">
      <alignment wrapText="1"/>
    </xf>
    <xf numFmtId="0" fontId="3" fillId="0" borderId="22" xfId="0" applyFont="1" applyBorder="1"/>
    <xf numFmtId="0" fontId="3" fillId="0" borderId="23" xfId="0" applyFont="1" applyBorder="1"/>
    <xf numFmtId="0" fontId="3" fillId="0" borderId="24" xfId="0" applyFont="1" applyBorder="1"/>
    <xf numFmtId="0" fontId="9" fillId="0" borderId="9" xfId="0" applyFont="1" applyBorder="1" applyAlignment="1">
      <alignment wrapText="1"/>
    </xf>
    <xf numFmtId="0" fontId="3" fillId="0" borderId="25" xfId="0" applyFont="1" applyBorder="1" applyAlignment="1">
      <alignment wrapText="1"/>
    </xf>
    <xf numFmtId="0" fontId="3" fillId="0" borderId="26" xfId="0" applyFont="1" applyBorder="1"/>
    <xf numFmtId="0" fontId="3" fillId="0" borderId="27" xfId="0" applyFont="1" applyBorder="1"/>
    <xf numFmtId="0" fontId="3" fillId="0" borderId="11" xfId="0" applyFont="1" applyBorder="1"/>
    <xf numFmtId="0" fontId="9" fillId="0" borderId="28" xfId="0" applyFont="1" applyBorder="1" applyAlignment="1">
      <alignment wrapText="1"/>
    </xf>
    <xf numFmtId="0" fontId="3" fillId="0" borderId="3" xfId="0" applyFont="1" applyBorder="1" applyAlignment="1">
      <alignment wrapText="1"/>
    </xf>
    <xf numFmtId="0" fontId="3" fillId="0" borderId="29" xfId="0" applyFont="1" applyBorder="1"/>
    <xf numFmtId="0" fontId="9" fillId="0" borderId="16" xfId="0" applyFont="1" applyBorder="1" applyAlignment="1">
      <alignment wrapText="1"/>
    </xf>
    <xf numFmtId="0" fontId="3" fillId="0" borderId="30" xfId="0" applyFont="1" applyBorder="1"/>
    <xf numFmtId="0" fontId="7" fillId="0" borderId="28" xfId="0" applyFont="1" applyBorder="1" applyAlignment="1">
      <alignment wrapText="1"/>
    </xf>
    <xf numFmtId="0" fontId="9" fillId="0" borderId="17" xfId="0" applyFont="1" applyBorder="1" applyAlignment="1">
      <alignment wrapText="1"/>
    </xf>
    <xf numFmtId="0" fontId="3" fillId="0" borderId="31" xfId="0" applyFont="1" applyBorder="1" applyAlignment="1">
      <alignment wrapText="1"/>
    </xf>
    <xf numFmtId="0" fontId="3" fillId="0" borderId="32" xfId="0" applyFont="1" applyBorder="1"/>
    <xf numFmtId="0" fontId="3" fillId="0" borderId="33" xfId="0" applyFont="1" applyBorder="1"/>
    <xf numFmtId="0" fontId="3" fillId="0" borderId="14" xfId="0" applyFont="1" applyBorder="1"/>
    <xf numFmtId="0" fontId="3" fillId="0" borderId="34" xfId="0" applyFont="1" applyBorder="1"/>
    <xf numFmtId="0" fontId="3" fillId="0" borderId="4" xfId="0" applyFont="1" applyBorder="1"/>
    <xf numFmtId="0" fontId="14" fillId="3" borderId="0" xfId="0" applyFont="1" applyFill="1" applyAlignment="1">
      <alignment horizontal="left"/>
    </xf>
    <xf numFmtId="0" fontId="9" fillId="0" borderId="12" xfId="0" applyFont="1" applyBorder="1" applyAlignment="1">
      <alignment wrapText="1"/>
    </xf>
    <xf numFmtId="0" fontId="3" fillId="0" borderId="35" xfId="0" applyFont="1" applyBorder="1"/>
    <xf numFmtId="0" fontId="11" fillId="0" borderId="8" xfId="0" applyFont="1" applyBorder="1"/>
    <xf numFmtId="0" fontId="3" fillId="0" borderId="21" xfId="0" applyFont="1" applyBorder="1"/>
    <xf numFmtId="0" fontId="3" fillId="0" borderId="25" xfId="0" applyFont="1" applyBorder="1"/>
    <xf numFmtId="0" fontId="8" fillId="0" borderId="0" xfId="0" applyFont="1" applyAlignment="1">
      <alignment vertical="top"/>
    </xf>
    <xf numFmtId="0" fontId="8" fillId="0" borderId="6" xfId="0" applyFont="1" applyBorder="1" applyAlignment="1">
      <alignment vertical="top"/>
    </xf>
    <xf numFmtId="0" fontId="8" fillId="0" borderId="27" xfId="0" applyFont="1" applyBorder="1" applyAlignment="1">
      <alignment vertical="top"/>
    </xf>
    <xf numFmtId="0" fontId="3" fillId="0" borderId="26" xfId="0" applyFont="1" applyBorder="1" applyAlignment="1">
      <alignment wrapText="1"/>
    </xf>
    <xf numFmtId="0" fontId="8" fillId="0" borderId="33" xfId="0" applyFont="1" applyBorder="1" applyAlignment="1">
      <alignment vertical="top"/>
    </xf>
    <xf numFmtId="0" fontId="3" fillId="0" borderId="39" xfId="0" applyFont="1" applyBorder="1"/>
    <xf numFmtId="0" fontId="1" fillId="0" borderId="0" xfId="0" applyFont="1" applyAlignment="1">
      <alignment vertical="top"/>
    </xf>
    <xf numFmtId="0" fontId="1" fillId="2" borderId="0" xfId="0" applyFont="1" applyFill="1" applyAlignment="1">
      <alignment vertical="top"/>
    </xf>
    <xf numFmtId="0" fontId="13" fillId="0" borderId="1" xfId="0" applyFont="1" applyBorder="1"/>
    <xf numFmtId="0" fontId="12" fillId="0" borderId="1" xfId="0" applyFont="1" applyBorder="1"/>
    <xf numFmtId="0" fontId="12" fillId="4" borderId="1" xfId="0" applyFont="1" applyFill="1" applyBorder="1" applyAlignment="1">
      <alignment wrapText="1"/>
    </xf>
    <xf numFmtId="0" fontId="12" fillId="4" borderId="1" xfId="0" applyFont="1" applyFill="1" applyBorder="1"/>
    <xf numFmtId="0" fontId="7" fillId="4" borderId="1" xfId="0" applyFont="1" applyFill="1" applyBorder="1"/>
    <xf numFmtId="0" fontId="7" fillId="0" borderId="1" xfId="0" applyFont="1" applyBorder="1"/>
    <xf numFmtId="0" fontId="12" fillId="0" borderId="1" xfId="0" applyFont="1" applyBorder="1" applyAlignment="1">
      <alignment wrapText="1"/>
    </xf>
    <xf numFmtId="0" fontId="13" fillId="0" borderId="0" xfId="0" applyFont="1"/>
    <xf numFmtId="0" fontId="11" fillId="0" borderId="6" xfId="0" applyFont="1" applyBorder="1" applyAlignment="1">
      <alignment wrapText="1"/>
    </xf>
    <xf numFmtId="0" fontId="7" fillId="2" borderId="0" xfId="0" applyFont="1" applyFill="1" applyAlignment="1">
      <alignment wrapText="1"/>
    </xf>
    <xf numFmtId="0" fontId="0" fillId="0" borderId="0" xfId="0" applyAlignment="1">
      <alignment wrapText="1"/>
    </xf>
    <xf numFmtId="0" fontId="12" fillId="0" borderId="41" xfId="0" applyFont="1" applyBorder="1"/>
    <xf numFmtId="0" fontId="7" fillId="0" borderId="41" xfId="0" applyFont="1" applyBorder="1" applyAlignment="1">
      <alignment wrapText="1"/>
    </xf>
    <xf numFmtId="0" fontId="7" fillId="0" borderId="41" xfId="0" applyFont="1" applyBorder="1"/>
    <xf numFmtId="0" fontId="11" fillId="0" borderId="41" xfId="0" applyFont="1" applyBorder="1" applyAlignment="1">
      <alignment wrapText="1"/>
    </xf>
    <xf numFmtId="0" fontId="11" fillId="0" borderId="41" xfId="0" applyFont="1" applyBorder="1"/>
    <xf numFmtId="0" fontId="3" fillId="0" borderId="41" xfId="0" applyFont="1" applyBorder="1" applyAlignment="1">
      <alignment wrapText="1"/>
    </xf>
    <xf numFmtId="0" fontId="3" fillId="0" borderId="41" xfId="0" applyFont="1" applyBorder="1"/>
    <xf numFmtId="0" fontId="23" fillId="0" borderId="41" xfId="0" applyFont="1" applyBorder="1" applyAlignment="1">
      <alignment wrapText="1"/>
    </xf>
    <xf numFmtId="0" fontId="24" fillId="0" borderId="41" xfId="0" applyFont="1" applyBorder="1" applyAlignment="1">
      <alignment wrapText="1"/>
    </xf>
    <xf numFmtId="0" fontId="24" fillId="0" borderId="0" xfId="0" applyFont="1" applyAlignment="1">
      <alignment wrapText="1"/>
    </xf>
    <xf numFmtId="0" fontId="26" fillId="0" borderId="0" xfId="0" applyFont="1" applyAlignment="1">
      <alignment wrapText="1"/>
    </xf>
    <xf numFmtId="0" fontId="13" fillId="2" borderId="0" xfId="0" applyFont="1" applyFill="1" applyAlignment="1">
      <alignment wrapText="1"/>
    </xf>
    <xf numFmtId="0" fontId="24" fillId="0" borderId="0" xfId="0" applyFont="1"/>
    <xf numFmtId="0" fontId="27" fillId="0" borderId="0" xfId="0" applyFont="1"/>
    <xf numFmtId="0" fontId="12" fillId="0" borderId="0" xfId="0" applyFont="1" applyAlignment="1">
      <alignment wrapText="1"/>
    </xf>
    <xf numFmtId="0" fontId="27" fillId="0" borderId="35" xfId="0" applyFont="1" applyBorder="1"/>
    <xf numFmtId="2" fontId="12" fillId="4" borderId="1" xfId="0" applyNumberFormat="1" applyFont="1" applyFill="1" applyBorder="1"/>
    <xf numFmtId="2" fontId="13" fillId="4" borderId="1" xfId="0" applyNumberFormat="1" applyFont="1" applyFill="1" applyBorder="1"/>
    <xf numFmtId="2" fontId="13" fillId="5" borderId="1" xfId="0" applyNumberFormat="1" applyFont="1" applyFill="1" applyBorder="1"/>
    <xf numFmtId="0" fontId="0" fillId="0" borderId="41" xfId="0" applyBorder="1"/>
    <xf numFmtId="0" fontId="24" fillId="0" borderId="41" xfId="0" applyFont="1" applyBorder="1"/>
    <xf numFmtId="0" fontId="28" fillId="0" borderId="41" xfId="0" applyFont="1" applyBorder="1"/>
    <xf numFmtId="0" fontId="18" fillId="0" borderId="41" xfId="0" applyFont="1" applyBorder="1" applyAlignment="1">
      <alignment wrapText="1"/>
    </xf>
    <xf numFmtId="0" fontId="27" fillId="0" borderId="11" xfId="0" applyFont="1" applyBorder="1"/>
    <xf numFmtId="3" fontId="3" fillId="0" borderId="0" xfId="0" applyNumberFormat="1" applyFont="1"/>
    <xf numFmtId="0" fontId="4" fillId="0" borderId="26" xfId="0" applyFont="1" applyBorder="1" applyAlignment="1">
      <alignment horizontal="left" vertical="center" wrapText="1"/>
    </xf>
    <xf numFmtId="0" fontId="4" fillId="0" borderId="0" xfId="0" applyFont="1" applyAlignment="1">
      <alignment horizontal="left" vertical="center" wrapText="1"/>
    </xf>
    <xf numFmtId="0" fontId="3" fillId="0" borderId="0" xfId="0" applyFont="1"/>
    <xf numFmtId="0" fontId="0" fillId="0" borderId="0" xfId="0"/>
    <xf numFmtId="0" fontId="25" fillId="0" borderId="0" xfId="0" applyFont="1"/>
    <xf numFmtId="0" fontId="10" fillId="0" borderId="0" xfId="0" applyFont="1"/>
    <xf numFmtId="0" fontId="9" fillId="0" borderId="0" xfId="0" applyFont="1"/>
    <xf numFmtId="0" fontId="3" fillId="0" borderId="36" xfId="0" applyFont="1" applyBorder="1" applyAlignment="1">
      <alignment wrapText="1"/>
    </xf>
    <xf numFmtId="0" fontId="15" fillId="0" borderId="37" xfId="0" applyFont="1" applyBorder="1"/>
    <xf numFmtId="0" fontId="15" fillId="0" borderId="38" xfId="0" applyFont="1" applyBorder="1"/>
    <xf numFmtId="0" fontId="7" fillId="0" borderId="0" xfId="0" applyFont="1" applyAlignment="1">
      <alignment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0" fillId="0" borderId="42" xfId="0" applyBorder="1" applyAlignment="1">
      <alignment horizontal="center"/>
    </xf>
    <xf numFmtId="0" fontId="0" fillId="0" borderId="43" xfId="0" applyBorder="1" applyAlignment="1">
      <alignment horizontal="center"/>
    </xf>
    <xf numFmtId="0" fontId="16" fillId="0" borderId="30" xfId="0" applyFont="1" applyBorder="1" applyAlignment="1">
      <alignment horizontal="center"/>
    </xf>
    <xf numFmtId="0" fontId="15" fillId="0" borderId="40" xfId="0" applyFont="1" applyBorder="1"/>
    <xf numFmtId="0" fontId="15" fillId="0" borderId="2" xfId="0" applyFont="1" applyBorder="1"/>
    <xf numFmtId="2" fontId="16" fillId="0" borderId="30" xfId="0" applyNumberFormat="1" applyFont="1" applyBorder="1" applyAlignment="1">
      <alignment horizontal="center"/>
    </xf>
    <xf numFmtId="2" fontId="15" fillId="0" borderId="40" xfId="0" applyNumberFormat="1" applyFont="1" applyBorder="1"/>
    <xf numFmtId="2" fontId="15" fillId="0" borderId="2" xfId="0" applyNumberFormat="1" applyFont="1" applyBorder="1"/>
    <xf numFmtId="0" fontId="29" fillId="0" borderId="0" xfId="0" applyFont="1" applyAlignment="1">
      <alignment horizontal="left" wrapText="1"/>
    </xf>
    <xf numFmtId="44" fontId="0" fillId="0" borderId="0" xfId="1" applyFont="1"/>
    <xf numFmtId="44" fontId="0" fillId="0" borderId="0" xfId="0" applyNumberFormat="1"/>
    <xf numFmtId="0" fontId="32" fillId="7" borderId="41" xfId="0" applyFont="1" applyFill="1" applyBorder="1" applyAlignment="1">
      <alignment horizontal="center"/>
    </xf>
    <xf numFmtId="0" fontId="31" fillId="6" borderId="41" xfId="0" applyFont="1" applyFill="1" applyBorder="1" applyAlignment="1">
      <alignment horizontal="left" vertical="center" wrapText="1"/>
    </xf>
    <xf numFmtId="44" fontId="31" fillId="6" borderId="41" xfId="1" applyFont="1" applyFill="1" applyBorder="1" applyAlignment="1">
      <alignment horizontal="left" vertical="center" wrapText="1"/>
    </xf>
    <xf numFmtId="44" fontId="0" fillId="0" borderId="41" xfId="1" applyFont="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kaggle.com/olistbr/brazilian-ecommerce" TargetMode="External"/><Relationship Id="rId7" Type="http://schemas.openxmlformats.org/officeDocument/2006/relationships/printerSettings" Target="../printerSettings/printerSettings1.bin"/><Relationship Id="rId2" Type="http://schemas.openxmlformats.org/officeDocument/2006/relationships/hyperlink" Target="https://www.kaggle.com/olistbr/brazilian-ecommerce" TargetMode="External"/><Relationship Id="rId1" Type="http://schemas.openxmlformats.org/officeDocument/2006/relationships/hyperlink" Target="https://www.kaggle.com/olistbr/brazilian-ecommerce" TargetMode="External"/><Relationship Id="rId6" Type="http://schemas.openxmlformats.org/officeDocument/2006/relationships/hyperlink" Target="https://www.kaggle.com/olistbr/brazilian-ecommerce" TargetMode="External"/><Relationship Id="rId5" Type="http://schemas.openxmlformats.org/officeDocument/2006/relationships/hyperlink" Target="https://www.kaggle.com/olistbr/brazilian-ecommerce" TargetMode="External"/><Relationship Id="rId4" Type="http://schemas.openxmlformats.org/officeDocument/2006/relationships/hyperlink" Target="https://www.kaggle.com/olistbr/brazilian-ecommerc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1:C9"/>
  <sheetViews>
    <sheetView topLeftCell="A10" workbookViewId="0"/>
  </sheetViews>
  <sheetFormatPr defaultColWidth="12.5703125" defaultRowHeight="15.75" customHeight="1" x14ac:dyDescent="0.2"/>
  <cols>
    <col min="3" max="3" width="115.42578125" customWidth="1"/>
  </cols>
  <sheetData>
    <row r="1" spans="3:3" ht="15.75" customHeight="1" x14ac:dyDescent="0.25">
      <c r="C1" s="1" t="s">
        <v>0</v>
      </c>
    </row>
    <row r="2" spans="3:3" ht="15" x14ac:dyDescent="0.2">
      <c r="C2" s="2"/>
    </row>
    <row r="3" spans="3:3" ht="30" x14ac:dyDescent="0.2">
      <c r="C3" s="3" t="s">
        <v>1</v>
      </c>
    </row>
    <row r="4" spans="3:3" ht="30" x14ac:dyDescent="0.2">
      <c r="C4" s="3" t="s">
        <v>2</v>
      </c>
    </row>
    <row r="5" spans="3:3" ht="15" x14ac:dyDescent="0.2">
      <c r="C5" s="3" t="s">
        <v>3</v>
      </c>
    </row>
    <row r="6" spans="3:3" ht="15" x14ac:dyDescent="0.2">
      <c r="C6" s="3" t="s">
        <v>4</v>
      </c>
    </row>
    <row r="9" spans="3:3" ht="15.75" customHeight="1" x14ac:dyDescent="0.25">
      <c r="C9"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5"/>
  <sheetViews>
    <sheetView topLeftCell="A8" workbookViewId="0">
      <selection activeCell="B7" sqref="B7:B12"/>
    </sheetView>
  </sheetViews>
  <sheetFormatPr defaultColWidth="12.5703125" defaultRowHeight="15.75" customHeight="1" x14ac:dyDescent="0.2"/>
  <cols>
    <col min="1" max="1" width="12.140625" customWidth="1"/>
    <col min="2" max="2" width="41.85546875" customWidth="1"/>
    <col min="3" max="3" width="70.85546875" customWidth="1"/>
  </cols>
  <sheetData>
    <row r="1" spans="1:26" ht="90" customHeight="1" x14ac:dyDescent="0.2">
      <c r="A1" s="4" t="s">
        <v>6</v>
      </c>
      <c r="B1" s="114" t="s">
        <v>7</v>
      </c>
      <c r="C1" s="115"/>
      <c r="D1" s="6"/>
      <c r="E1" s="6"/>
      <c r="F1" s="6"/>
      <c r="G1" s="6"/>
      <c r="H1" s="6"/>
      <c r="I1" s="6"/>
      <c r="J1" s="6"/>
      <c r="K1" s="6"/>
      <c r="L1" s="6"/>
      <c r="M1" s="6"/>
      <c r="N1" s="6"/>
      <c r="O1" s="6"/>
      <c r="P1" s="6"/>
      <c r="Q1" s="6"/>
      <c r="R1" s="6"/>
      <c r="S1" s="6"/>
      <c r="T1" s="6"/>
      <c r="U1" s="6"/>
      <c r="V1" s="6"/>
      <c r="W1" s="6"/>
      <c r="X1" s="6"/>
      <c r="Y1" s="6"/>
      <c r="Z1" s="6"/>
    </row>
    <row r="2" spans="1:26" ht="15" x14ac:dyDescent="0.2">
      <c r="A2" s="7"/>
      <c r="B2" s="7"/>
      <c r="C2" s="7"/>
      <c r="D2" s="6"/>
      <c r="E2" s="6"/>
      <c r="F2" s="6"/>
      <c r="G2" s="6"/>
      <c r="H2" s="6"/>
      <c r="I2" s="6"/>
      <c r="J2" s="6"/>
      <c r="K2" s="6"/>
      <c r="L2" s="6"/>
      <c r="M2" s="6"/>
      <c r="N2" s="6"/>
      <c r="O2" s="6"/>
      <c r="P2" s="6"/>
      <c r="Q2" s="6"/>
      <c r="R2" s="6"/>
      <c r="S2" s="6"/>
      <c r="T2" s="6"/>
      <c r="U2" s="6"/>
      <c r="V2" s="6"/>
      <c r="W2" s="6"/>
      <c r="X2" s="6"/>
      <c r="Y2" s="6"/>
      <c r="Z2" s="6"/>
    </row>
    <row r="3" spans="1:26" ht="90" x14ac:dyDescent="0.2">
      <c r="A3" s="8" t="s">
        <v>0</v>
      </c>
      <c r="B3" s="4" t="s">
        <v>8</v>
      </c>
      <c r="C3" s="7"/>
      <c r="D3" s="6"/>
      <c r="E3" s="6"/>
      <c r="F3" s="6"/>
      <c r="G3" s="6"/>
      <c r="H3" s="6"/>
      <c r="I3" s="6"/>
      <c r="J3" s="6"/>
      <c r="K3" s="6"/>
      <c r="L3" s="6"/>
      <c r="M3" s="6"/>
      <c r="N3" s="6"/>
      <c r="O3" s="6"/>
      <c r="P3" s="6"/>
      <c r="Q3" s="6"/>
      <c r="R3" s="6"/>
      <c r="S3" s="6"/>
      <c r="T3" s="6"/>
      <c r="U3" s="6"/>
      <c r="V3" s="6"/>
      <c r="W3" s="6"/>
      <c r="X3" s="6"/>
      <c r="Y3" s="6"/>
      <c r="Z3" s="6"/>
    </row>
    <row r="4" spans="1:26" ht="15" x14ac:dyDescent="0.2">
      <c r="A4" s="7"/>
      <c r="B4" s="7"/>
      <c r="C4" s="7"/>
      <c r="D4" s="6"/>
      <c r="E4" s="6"/>
      <c r="F4" s="6"/>
      <c r="G4" s="6"/>
      <c r="H4" s="6"/>
      <c r="I4" s="6"/>
      <c r="J4" s="6"/>
      <c r="K4" s="6"/>
      <c r="L4" s="6"/>
      <c r="M4" s="6"/>
      <c r="N4" s="6"/>
      <c r="O4" s="6"/>
      <c r="P4" s="6"/>
      <c r="Q4" s="6"/>
      <c r="R4" s="6"/>
      <c r="S4" s="6"/>
      <c r="T4" s="6"/>
      <c r="U4" s="6"/>
      <c r="V4" s="6"/>
      <c r="W4" s="6"/>
      <c r="X4" s="6"/>
      <c r="Y4" s="6"/>
      <c r="Z4" s="6"/>
    </row>
    <row r="5" spans="1:26" ht="15" x14ac:dyDescent="0.2">
      <c r="A5" s="5"/>
      <c r="B5" s="5"/>
      <c r="C5" s="5"/>
      <c r="D5" s="6"/>
      <c r="E5" s="6"/>
      <c r="F5" s="6"/>
      <c r="G5" s="6"/>
      <c r="H5" s="6"/>
      <c r="I5" s="6"/>
      <c r="J5" s="6"/>
      <c r="K5" s="6"/>
      <c r="L5" s="6"/>
      <c r="M5" s="6"/>
      <c r="N5" s="6"/>
      <c r="O5" s="6"/>
      <c r="P5" s="6"/>
      <c r="Q5" s="6"/>
      <c r="R5" s="6"/>
      <c r="S5" s="6"/>
      <c r="T5" s="6"/>
      <c r="U5" s="6"/>
      <c r="V5" s="6"/>
      <c r="W5" s="6"/>
      <c r="X5" s="6"/>
      <c r="Y5" s="6"/>
      <c r="Z5" s="6"/>
    </row>
    <row r="6" spans="1:26" ht="15" x14ac:dyDescent="0.2">
      <c r="A6" s="9" t="s">
        <v>9</v>
      </c>
      <c r="B6" s="10" t="s">
        <v>10</v>
      </c>
      <c r="C6" s="10" t="s">
        <v>11</v>
      </c>
      <c r="D6" s="6"/>
      <c r="E6" s="6"/>
      <c r="F6" s="6"/>
      <c r="G6" s="6"/>
      <c r="H6" s="6"/>
      <c r="I6" s="6"/>
      <c r="J6" s="6"/>
      <c r="K6" s="6"/>
      <c r="L6" s="6"/>
      <c r="M6" s="6"/>
      <c r="N6" s="6"/>
      <c r="O6" s="6"/>
      <c r="P6" s="6"/>
      <c r="Q6" s="6"/>
      <c r="R6" s="6"/>
      <c r="S6" s="6"/>
      <c r="T6" s="6"/>
      <c r="U6" s="6"/>
      <c r="V6" s="6"/>
      <c r="W6" s="6"/>
      <c r="X6" s="6"/>
      <c r="Y6" s="6"/>
      <c r="Z6" s="6"/>
    </row>
    <row r="7" spans="1:26" ht="135" x14ac:dyDescent="0.2">
      <c r="A7" s="11">
        <v>1</v>
      </c>
      <c r="B7" s="12" t="s">
        <v>12</v>
      </c>
      <c r="C7" s="12" t="s">
        <v>13</v>
      </c>
      <c r="D7" s="6"/>
      <c r="E7" s="6"/>
      <c r="F7" s="6"/>
      <c r="G7" s="6"/>
      <c r="H7" s="6"/>
      <c r="I7" s="6"/>
      <c r="J7" s="6"/>
      <c r="K7" s="6"/>
      <c r="L7" s="6"/>
      <c r="M7" s="6"/>
      <c r="N7" s="6"/>
      <c r="O7" s="6"/>
      <c r="P7" s="6"/>
      <c r="Q7" s="6"/>
      <c r="R7" s="6"/>
      <c r="S7" s="6"/>
      <c r="T7" s="6"/>
      <c r="U7" s="6"/>
      <c r="V7" s="6"/>
      <c r="W7" s="6"/>
      <c r="X7" s="6"/>
      <c r="Y7" s="6"/>
      <c r="Z7" s="6"/>
    </row>
    <row r="8" spans="1:26" ht="105" x14ac:dyDescent="0.2">
      <c r="A8" s="11">
        <v>2</v>
      </c>
      <c r="B8" s="12" t="s">
        <v>14</v>
      </c>
      <c r="C8" s="12" t="s">
        <v>15</v>
      </c>
      <c r="D8" s="6"/>
      <c r="E8" s="6"/>
      <c r="F8" s="6"/>
      <c r="G8" s="6"/>
      <c r="H8" s="6"/>
      <c r="I8" s="6"/>
      <c r="J8" s="6"/>
      <c r="K8" s="6"/>
      <c r="L8" s="6"/>
      <c r="M8" s="6"/>
      <c r="N8" s="6"/>
      <c r="O8" s="6"/>
      <c r="P8" s="6"/>
      <c r="Q8" s="6"/>
      <c r="R8" s="6"/>
      <c r="S8" s="6"/>
      <c r="T8" s="6"/>
      <c r="U8" s="6"/>
      <c r="V8" s="6"/>
      <c r="W8" s="6"/>
      <c r="X8" s="6"/>
      <c r="Y8" s="6"/>
      <c r="Z8" s="6"/>
    </row>
    <row r="9" spans="1:26" ht="60" x14ac:dyDescent="0.2">
      <c r="A9" s="11">
        <v>3</v>
      </c>
      <c r="B9" s="12" t="s">
        <v>16</v>
      </c>
      <c r="C9" s="12" t="s">
        <v>17</v>
      </c>
      <c r="D9" s="6"/>
      <c r="E9" s="6"/>
      <c r="F9" s="6"/>
      <c r="G9" s="6"/>
      <c r="H9" s="6"/>
      <c r="I9" s="6"/>
      <c r="J9" s="6"/>
      <c r="K9" s="6"/>
      <c r="L9" s="6"/>
      <c r="M9" s="6"/>
      <c r="N9" s="6"/>
      <c r="O9" s="6"/>
      <c r="P9" s="6"/>
      <c r="Q9" s="6"/>
      <c r="R9" s="6"/>
      <c r="S9" s="6"/>
      <c r="T9" s="6"/>
      <c r="U9" s="6"/>
      <c r="V9" s="6"/>
      <c r="W9" s="6"/>
      <c r="X9" s="6"/>
      <c r="Y9" s="6"/>
      <c r="Z9" s="6"/>
    </row>
    <row r="10" spans="1:26" ht="90" x14ac:dyDescent="0.2">
      <c r="A10" s="11">
        <v>4</v>
      </c>
      <c r="B10" s="12" t="s">
        <v>18</v>
      </c>
      <c r="C10" s="12" t="s">
        <v>19</v>
      </c>
      <c r="D10" s="6"/>
      <c r="E10" s="6"/>
      <c r="F10" s="6"/>
      <c r="G10" s="6"/>
      <c r="H10" s="6"/>
      <c r="I10" s="6"/>
      <c r="J10" s="6"/>
      <c r="K10" s="6"/>
      <c r="L10" s="6"/>
      <c r="M10" s="6"/>
      <c r="N10" s="6"/>
      <c r="O10" s="6"/>
      <c r="P10" s="6"/>
      <c r="Q10" s="6"/>
      <c r="R10" s="6"/>
      <c r="S10" s="6"/>
      <c r="T10" s="6"/>
      <c r="U10" s="6"/>
      <c r="V10" s="6"/>
      <c r="W10" s="6"/>
      <c r="X10" s="6"/>
      <c r="Y10" s="6"/>
      <c r="Z10" s="6"/>
    </row>
    <row r="11" spans="1:26" ht="90" x14ac:dyDescent="0.2">
      <c r="A11" s="11">
        <v>5</v>
      </c>
      <c r="B11" s="12" t="s">
        <v>20</v>
      </c>
      <c r="C11" s="12" t="s">
        <v>21</v>
      </c>
      <c r="D11" s="6"/>
      <c r="E11" s="6"/>
      <c r="F11" s="6"/>
      <c r="G11" s="6"/>
      <c r="H11" s="6"/>
      <c r="I11" s="6"/>
      <c r="J11" s="6"/>
      <c r="K11" s="6"/>
      <c r="L11" s="6"/>
      <c r="M11" s="6"/>
      <c r="N11" s="6"/>
      <c r="O11" s="6"/>
      <c r="P11" s="6"/>
      <c r="Q11" s="6"/>
      <c r="R11" s="6"/>
      <c r="S11" s="6"/>
      <c r="T11" s="6"/>
      <c r="U11" s="6"/>
      <c r="V11" s="6"/>
      <c r="W11" s="6"/>
      <c r="X11" s="6"/>
      <c r="Y11" s="6"/>
      <c r="Z11" s="6"/>
    </row>
    <row r="12" spans="1:26" ht="105" x14ac:dyDescent="0.2">
      <c r="A12" s="11">
        <v>6</v>
      </c>
      <c r="B12" s="12" t="s">
        <v>22</v>
      </c>
      <c r="C12" s="12" t="s">
        <v>23</v>
      </c>
      <c r="D12" s="6"/>
      <c r="E12" s="6"/>
      <c r="F12" s="6"/>
      <c r="G12" s="6"/>
      <c r="H12" s="6"/>
      <c r="I12" s="6"/>
      <c r="J12" s="6"/>
      <c r="K12" s="6"/>
      <c r="L12" s="6"/>
      <c r="M12" s="6"/>
      <c r="N12" s="6"/>
      <c r="O12" s="6"/>
      <c r="P12" s="6"/>
      <c r="Q12" s="6"/>
      <c r="R12" s="6"/>
      <c r="S12" s="6"/>
      <c r="T12" s="6"/>
      <c r="U12" s="6"/>
      <c r="V12" s="6"/>
      <c r="W12" s="6"/>
      <c r="X12" s="6"/>
      <c r="Y12" s="6"/>
      <c r="Z12" s="6"/>
    </row>
    <row r="13" spans="1:26" ht="15" x14ac:dyDescent="0.2">
      <c r="A13" s="7"/>
      <c r="B13" s="7"/>
      <c r="C13" s="7"/>
      <c r="D13" s="6"/>
      <c r="E13" s="6"/>
      <c r="F13" s="6"/>
      <c r="G13" s="6"/>
      <c r="H13" s="6"/>
      <c r="I13" s="6"/>
      <c r="J13" s="6"/>
      <c r="K13" s="6"/>
      <c r="L13" s="6"/>
      <c r="M13" s="6"/>
      <c r="N13" s="6"/>
      <c r="O13" s="6"/>
      <c r="P13" s="6"/>
      <c r="Q13" s="6"/>
      <c r="R13" s="6"/>
      <c r="S13" s="6"/>
      <c r="T13" s="6"/>
      <c r="U13" s="6"/>
      <c r="V13" s="6"/>
      <c r="W13" s="6"/>
      <c r="X13" s="6"/>
      <c r="Y13" s="6"/>
      <c r="Z13" s="6"/>
    </row>
    <row r="14" spans="1:26" ht="15" x14ac:dyDescent="0.2">
      <c r="A14" s="7"/>
      <c r="B14" s="7"/>
      <c r="C14" s="7"/>
      <c r="D14" s="6"/>
      <c r="E14" s="6"/>
      <c r="F14" s="6"/>
      <c r="G14" s="6"/>
      <c r="H14" s="6"/>
      <c r="I14" s="6"/>
      <c r="J14" s="6"/>
      <c r="K14" s="6"/>
      <c r="L14" s="6"/>
      <c r="M14" s="6"/>
      <c r="N14" s="6"/>
      <c r="O14" s="6"/>
      <c r="P14" s="6"/>
      <c r="Q14" s="6"/>
      <c r="R14" s="6"/>
      <c r="S14" s="6"/>
      <c r="T14" s="6"/>
      <c r="U14" s="6"/>
      <c r="V14" s="6"/>
      <c r="W14" s="6"/>
      <c r="X14" s="6"/>
      <c r="Y14" s="6"/>
      <c r="Z14" s="6"/>
    </row>
    <row r="15" spans="1:26" ht="15" x14ac:dyDescent="0.2">
      <c r="A15" s="7"/>
      <c r="B15" s="7"/>
      <c r="C15" s="7"/>
      <c r="D15" s="6"/>
      <c r="E15" s="6"/>
      <c r="F15" s="6"/>
      <c r="G15" s="6"/>
      <c r="H15" s="6"/>
      <c r="I15" s="6"/>
      <c r="J15" s="6"/>
      <c r="K15" s="6"/>
      <c r="L15" s="6"/>
      <c r="M15" s="6"/>
      <c r="N15" s="6"/>
      <c r="O15" s="6"/>
      <c r="P15" s="6"/>
      <c r="Q15" s="6"/>
      <c r="R15" s="6"/>
      <c r="S15" s="6"/>
      <c r="T15" s="6"/>
      <c r="U15" s="6"/>
      <c r="V15" s="6"/>
      <c r="W15" s="6"/>
      <c r="X15" s="6"/>
      <c r="Y15" s="6"/>
      <c r="Z15" s="6"/>
    </row>
    <row r="16" spans="1:26" ht="15" x14ac:dyDescent="0.2">
      <c r="A16" s="7"/>
      <c r="B16" s="7"/>
      <c r="C16" s="7"/>
      <c r="D16" s="6"/>
      <c r="E16" s="6"/>
      <c r="F16" s="6"/>
      <c r="G16" s="6"/>
      <c r="H16" s="6"/>
      <c r="I16" s="6"/>
      <c r="J16" s="6"/>
      <c r="K16" s="6"/>
      <c r="L16" s="6"/>
      <c r="M16" s="6"/>
      <c r="N16" s="6"/>
      <c r="O16" s="6"/>
      <c r="P16" s="6"/>
      <c r="Q16" s="6"/>
      <c r="R16" s="6"/>
      <c r="S16" s="6"/>
      <c r="T16" s="6"/>
      <c r="U16" s="6"/>
      <c r="V16" s="6"/>
      <c r="W16" s="6"/>
      <c r="X16" s="6"/>
      <c r="Y16" s="6"/>
      <c r="Z16" s="6"/>
    </row>
    <row r="17" spans="1:26" ht="15" x14ac:dyDescent="0.2">
      <c r="A17" s="7"/>
      <c r="B17" s="7"/>
      <c r="C17" s="7"/>
      <c r="D17" s="6"/>
      <c r="E17" s="6"/>
      <c r="F17" s="6"/>
      <c r="G17" s="6"/>
      <c r="H17" s="6"/>
      <c r="I17" s="6"/>
      <c r="J17" s="6"/>
      <c r="K17" s="6"/>
      <c r="L17" s="6"/>
      <c r="M17" s="6"/>
      <c r="N17" s="6"/>
      <c r="O17" s="6"/>
      <c r="P17" s="6"/>
      <c r="Q17" s="6"/>
      <c r="R17" s="6"/>
      <c r="S17" s="6"/>
      <c r="T17" s="6"/>
      <c r="U17" s="6"/>
      <c r="V17" s="6"/>
      <c r="W17" s="6"/>
      <c r="X17" s="6"/>
      <c r="Y17" s="6"/>
      <c r="Z17" s="6"/>
    </row>
    <row r="18" spans="1:26" ht="15" x14ac:dyDescent="0.2">
      <c r="A18" s="7"/>
      <c r="B18" s="7"/>
      <c r="C18" s="7"/>
      <c r="D18" s="6"/>
      <c r="E18" s="6"/>
      <c r="F18" s="6"/>
      <c r="G18" s="6"/>
      <c r="H18" s="6"/>
      <c r="I18" s="6"/>
      <c r="J18" s="6"/>
      <c r="K18" s="6"/>
      <c r="L18" s="6"/>
      <c r="M18" s="6"/>
      <c r="N18" s="6"/>
      <c r="O18" s="6"/>
      <c r="P18" s="6"/>
      <c r="Q18" s="6"/>
      <c r="R18" s="6"/>
      <c r="S18" s="6"/>
      <c r="T18" s="6"/>
      <c r="U18" s="6"/>
      <c r="V18" s="6"/>
      <c r="W18" s="6"/>
      <c r="X18" s="6"/>
      <c r="Y18" s="6"/>
      <c r="Z18" s="6"/>
    </row>
    <row r="19" spans="1:26" ht="15" x14ac:dyDescent="0.2">
      <c r="A19" s="7"/>
      <c r="B19" s="7"/>
      <c r="C19" s="7"/>
      <c r="D19" s="6"/>
      <c r="E19" s="6"/>
      <c r="F19" s="6"/>
      <c r="G19" s="6"/>
      <c r="H19" s="6"/>
      <c r="I19" s="6"/>
      <c r="J19" s="6"/>
      <c r="K19" s="6"/>
      <c r="L19" s="6"/>
      <c r="M19" s="6"/>
      <c r="N19" s="6"/>
      <c r="O19" s="6"/>
      <c r="P19" s="6"/>
      <c r="Q19" s="6"/>
      <c r="R19" s="6"/>
      <c r="S19" s="6"/>
      <c r="T19" s="6"/>
      <c r="U19" s="6"/>
      <c r="V19" s="6"/>
      <c r="W19" s="6"/>
      <c r="X19" s="6"/>
      <c r="Y19" s="6"/>
      <c r="Z19" s="6"/>
    </row>
    <row r="20" spans="1:26" ht="15" x14ac:dyDescent="0.2">
      <c r="A20" s="7"/>
      <c r="B20" s="7"/>
      <c r="C20" s="7"/>
      <c r="D20" s="6"/>
      <c r="E20" s="6"/>
      <c r="F20" s="6"/>
      <c r="G20" s="6"/>
      <c r="H20" s="6"/>
      <c r="I20" s="6"/>
      <c r="J20" s="6"/>
      <c r="K20" s="6"/>
      <c r="L20" s="6"/>
      <c r="M20" s="6"/>
      <c r="N20" s="6"/>
      <c r="O20" s="6"/>
      <c r="P20" s="6"/>
      <c r="Q20" s="6"/>
      <c r="R20" s="6"/>
      <c r="S20" s="6"/>
      <c r="T20" s="6"/>
      <c r="U20" s="6"/>
      <c r="V20" s="6"/>
      <c r="W20" s="6"/>
      <c r="X20" s="6"/>
      <c r="Y20" s="6"/>
      <c r="Z20" s="6"/>
    </row>
    <row r="21" spans="1:26" ht="15" x14ac:dyDescent="0.2">
      <c r="A21" s="7"/>
      <c r="B21" s="7"/>
      <c r="C21" s="7"/>
      <c r="D21" s="6"/>
      <c r="E21" s="6"/>
      <c r="F21" s="6"/>
      <c r="G21" s="6"/>
      <c r="H21" s="6"/>
      <c r="I21" s="6"/>
      <c r="J21" s="6"/>
      <c r="K21" s="6"/>
      <c r="L21" s="6"/>
      <c r="M21" s="6"/>
      <c r="N21" s="6"/>
      <c r="O21" s="6"/>
      <c r="P21" s="6"/>
      <c r="Q21" s="6"/>
      <c r="R21" s="6"/>
      <c r="S21" s="6"/>
      <c r="T21" s="6"/>
      <c r="U21" s="6"/>
      <c r="V21" s="6"/>
      <c r="W21" s="6"/>
      <c r="X21" s="6"/>
      <c r="Y21" s="6"/>
      <c r="Z21" s="6"/>
    </row>
    <row r="22" spans="1:26" ht="15" x14ac:dyDescent="0.2">
      <c r="A22" s="7"/>
      <c r="B22" s="7"/>
      <c r="C22" s="7"/>
      <c r="D22" s="6"/>
      <c r="E22" s="6"/>
      <c r="F22" s="6"/>
      <c r="G22" s="6"/>
      <c r="H22" s="6"/>
      <c r="I22" s="6"/>
      <c r="J22" s="6"/>
      <c r="K22" s="6"/>
      <c r="L22" s="6"/>
      <c r="M22" s="6"/>
      <c r="N22" s="6"/>
      <c r="O22" s="6"/>
      <c r="P22" s="6"/>
      <c r="Q22" s="6"/>
      <c r="R22" s="6"/>
      <c r="S22" s="6"/>
      <c r="T22" s="6"/>
      <c r="U22" s="6"/>
      <c r="V22" s="6"/>
      <c r="W22" s="6"/>
      <c r="X22" s="6"/>
      <c r="Y22" s="6"/>
      <c r="Z22" s="6"/>
    </row>
    <row r="23" spans="1:26" ht="15" x14ac:dyDescent="0.2">
      <c r="A23" s="7"/>
      <c r="B23" s="7"/>
      <c r="C23" s="7"/>
      <c r="D23" s="6"/>
      <c r="E23" s="6"/>
      <c r="F23" s="6"/>
      <c r="G23" s="6"/>
      <c r="H23" s="6"/>
      <c r="I23" s="6"/>
      <c r="J23" s="6"/>
      <c r="K23" s="6"/>
      <c r="L23" s="6"/>
      <c r="M23" s="6"/>
      <c r="N23" s="6"/>
      <c r="O23" s="6"/>
      <c r="P23" s="6"/>
      <c r="Q23" s="6"/>
      <c r="R23" s="6"/>
      <c r="S23" s="6"/>
      <c r="T23" s="6"/>
      <c r="U23" s="6"/>
      <c r="V23" s="6"/>
      <c r="W23" s="6"/>
      <c r="X23" s="6"/>
      <c r="Y23" s="6"/>
      <c r="Z23" s="6"/>
    </row>
    <row r="24" spans="1:26" ht="15" x14ac:dyDescent="0.2">
      <c r="A24" s="7"/>
      <c r="B24" s="7"/>
      <c r="C24" s="7"/>
      <c r="D24" s="6"/>
      <c r="E24" s="6"/>
      <c r="F24" s="6"/>
      <c r="G24" s="6"/>
      <c r="H24" s="6"/>
      <c r="I24" s="6"/>
      <c r="J24" s="6"/>
      <c r="K24" s="6"/>
      <c r="L24" s="6"/>
      <c r="M24" s="6"/>
      <c r="N24" s="6"/>
      <c r="O24" s="6"/>
      <c r="P24" s="6"/>
      <c r="Q24" s="6"/>
      <c r="R24" s="6"/>
      <c r="S24" s="6"/>
      <c r="T24" s="6"/>
      <c r="U24" s="6"/>
      <c r="V24" s="6"/>
      <c r="W24" s="6"/>
      <c r="X24" s="6"/>
      <c r="Y24" s="6"/>
      <c r="Z24" s="6"/>
    </row>
    <row r="25" spans="1:26" ht="15" x14ac:dyDescent="0.2">
      <c r="A25" s="7"/>
      <c r="B25" s="7"/>
      <c r="C25" s="7"/>
      <c r="D25" s="6"/>
      <c r="E25" s="6"/>
      <c r="F25" s="6"/>
      <c r="G25" s="6"/>
      <c r="H25" s="6"/>
      <c r="I25" s="6"/>
      <c r="J25" s="6"/>
      <c r="K25" s="6"/>
      <c r="L25" s="6"/>
      <c r="M25" s="6"/>
      <c r="N25" s="6"/>
      <c r="O25" s="6"/>
      <c r="P25" s="6"/>
      <c r="Q25" s="6"/>
      <c r="R25" s="6"/>
      <c r="S25" s="6"/>
      <c r="T25" s="6"/>
      <c r="U25" s="6"/>
      <c r="V25" s="6"/>
      <c r="W25" s="6"/>
      <c r="X25" s="6"/>
      <c r="Y25" s="6"/>
      <c r="Z25" s="6"/>
    </row>
    <row r="26" spans="1:26" ht="15" x14ac:dyDescent="0.2">
      <c r="A26" s="7"/>
      <c r="B26" s="7"/>
      <c r="C26" s="7"/>
      <c r="D26" s="6"/>
      <c r="E26" s="6"/>
      <c r="F26" s="6"/>
      <c r="G26" s="6"/>
      <c r="H26" s="6"/>
      <c r="I26" s="6"/>
      <c r="J26" s="6"/>
      <c r="K26" s="6"/>
      <c r="L26" s="6"/>
      <c r="M26" s="6"/>
      <c r="N26" s="6"/>
      <c r="O26" s="6"/>
      <c r="P26" s="6"/>
      <c r="Q26" s="6"/>
      <c r="R26" s="6"/>
      <c r="S26" s="6"/>
      <c r="T26" s="6"/>
      <c r="U26" s="6"/>
      <c r="V26" s="6"/>
      <c r="W26" s="6"/>
      <c r="X26" s="6"/>
      <c r="Y26" s="6"/>
      <c r="Z26" s="6"/>
    </row>
    <row r="27" spans="1:26" ht="15" x14ac:dyDescent="0.2">
      <c r="A27" s="7"/>
      <c r="B27" s="7"/>
      <c r="C27" s="7"/>
      <c r="D27" s="6"/>
      <c r="E27" s="6"/>
      <c r="F27" s="6"/>
      <c r="G27" s="6"/>
      <c r="H27" s="6"/>
      <c r="I27" s="6"/>
      <c r="J27" s="6"/>
      <c r="K27" s="6"/>
      <c r="L27" s="6"/>
      <c r="M27" s="6"/>
      <c r="N27" s="6"/>
      <c r="O27" s="6"/>
      <c r="P27" s="6"/>
      <c r="Q27" s="6"/>
      <c r="R27" s="6"/>
      <c r="S27" s="6"/>
      <c r="T27" s="6"/>
      <c r="U27" s="6"/>
      <c r="V27" s="6"/>
      <c r="W27" s="6"/>
      <c r="X27" s="6"/>
      <c r="Y27" s="6"/>
      <c r="Z27" s="6"/>
    </row>
    <row r="28" spans="1:26" ht="15" x14ac:dyDescent="0.2">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 x14ac:dyDescent="0.2">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 x14ac:dyDescent="0.2">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 x14ac:dyDescent="0.2">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 x14ac:dyDescent="0.2">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 x14ac:dyDescent="0.2">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 x14ac:dyDescent="0.2">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 x14ac:dyDescent="0.2">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 x14ac:dyDescent="0.2">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 x14ac:dyDescent="0.2">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 x14ac:dyDescent="0.2">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 x14ac:dyDescent="0.2">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 x14ac:dyDescent="0.2">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 x14ac:dyDescent="0.2">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 x14ac:dyDescent="0.2">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 x14ac:dyDescent="0.2">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 x14ac:dyDescent="0.2">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 x14ac:dyDescent="0.2">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 x14ac:dyDescent="0.2">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 x14ac:dyDescent="0.2">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 x14ac:dyDescent="0.2">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 x14ac:dyDescent="0.2">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 x14ac:dyDescent="0.2">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 x14ac:dyDescent="0.2">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 x14ac:dyDescent="0.2">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 x14ac:dyDescent="0.2">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 x14ac:dyDescent="0.2">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 x14ac:dyDescent="0.2">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 x14ac:dyDescent="0.2">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 x14ac:dyDescent="0.2">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 x14ac:dyDescent="0.2">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 x14ac:dyDescent="0.2">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 x14ac:dyDescent="0.2">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 x14ac:dyDescent="0.2">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 x14ac:dyDescent="0.2">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 x14ac:dyDescent="0.2">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 x14ac:dyDescent="0.2">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 x14ac:dyDescent="0.2">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 x14ac:dyDescent="0.2">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 x14ac:dyDescent="0.2">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 x14ac:dyDescent="0.2">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 x14ac:dyDescent="0.2">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 x14ac:dyDescent="0.2">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 x14ac:dyDescent="0.2">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 x14ac:dyDescent="0.2">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 x14ac:dyDescent="0.2">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 x14ac:dyDescent="0.2">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 x14ac:dyDescent="0.2">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 x14ac:dyDescent="0.2">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 x14ac:dyDescent="0.2">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 x14ac:dyDescent="0.2">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 x14ac:dyDescent="0.2">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 x14ac:dyDescent="0.2">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 x14ac:dyDescent="0.2">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 x14ac:dyDescent="0.2">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 x14ac:dyDescent="0.2">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 x14ac:dyDescent="0.2">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 x14ac:dyDescent="0.2">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 x14ac:dyDescent="0.2">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 x14ac:dyDescent="0.2">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 x14ac:dyDescent="0.2">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 x14ac:dyDescent="0.2">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 x14ac:dyDescent="0.2">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 x14ac:dyDescent="0.2">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 x14ac:dyDescent="0.2">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 x14ac:dyDescent="0.2">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 x14ac:dyDescent="0.2">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 x14ac:dyDescent="0.2">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 x14ac:dyDescent="0.2">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 x14ac:dyDescent="0.2">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 x14ac:dyDescent="0.2">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 x14ac:dyDescent="0.2">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sheetData>
  <mergeCells count="1">
    <mergeCell ref="B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52"/>
  <sheetViews>
    <sheetView topLeftCell="A87" zoomScale="85" zoomScaleNormal="85" workbookViewId="0">
      <selection activeCell="D152" sqref="D152"/>
    </sheetView>
  </sheetViews>
  <sheetFormatPr defaultColWidth="12.5703125" defaultRowHeight="15.75" customHeight="1" x14ac:dyDescent="0.2"/>
  <cols>
    <col min="1" max="1" width="25.85546875" customWidth="1"/>
    <col min="2" max="2" width="10.7109375" customWidth="1"/>
    <col min="3" max="3" width="68.7109375" style="88" customWidth="1"/>
    <col min="4" max="4" width="10.42578125" customWidth="1"/>
    <col min="5" max="5" width="40.5703125" customWidth="1"/>
    <col min="6" max="6" width="35.42578125" customWidth="1"/>
    <col min="7" max="7" width="46.85546875" bestFit="1" customWidth="1"/>
    <col min="8" max="8" width="25.42578125" customWidth="1"/>
  </cols>
  <sheetData>
    <row r="1" spans="1:7" ht="45" x14ac:dyDescent="0.2">
      <c r="A1" s="13"/>
      <c r="B1" s="13"/>
      <c r="C1" s="14" t="s">
        <v>24</v>
      </c>
      <c r="D1" s="13"/>
      <c r="E1" s="13"/>
      <c r="F1" s="13"/>
      <c r="G1" s="13"/>
    </row>
    <row r="2" spans="1:7" ht="12.75" x14ac:dyDescent="0.2">
      <c r="A2" s="13"/>
      <c r="B2" s="13"/>
      <c r="C2" s="26"/>
      <c r="D2" s="13"/>
      <c r="E2" s="13"/>
      <c r="F2" s="13"/>
      <c r="G2" s="13"/>
    </row>
    <row r="3" spans="1:7" ht="12.75" x14ac:dyDescent="0.2">
      <c r="A3" s="13"/>
      <c r="B3" s="13"/>
      <c r="C3" s="26"/>
      <c r="D3" s="13"/>
      <c r="E3" s="13"/>
      <c r="F3" s="13"/>
      <c r="G3" s="13"/>
    </row>
    <row r="4" spans="1:7" ht="12.75" x14ac:dyDescent="0.2">
      <c r="A4" s="13"/>
      <c r="B4" s="13"/>
      <c r="C4" s="26"/>
      <c r="D4" s="13"/>
      <c r="E4" s="13"/>
      <c r="F4" s="13"/>
      <c r="G4" s="13"/>
    </row>
    <row r="5" spans="1:7" ht="15.75" customHeight="1" x14ac:dyDescent="0.25">
      <c r="A5" s="99" t="s">
        <v>211</v>
      </c>
      <c r="B5" s="120" t="s">
        <v>12</v>
      </c>
      <c r="C5" s="117"/>
      <c r="D5" s="117"/>
      <c r="E5" s="13"/>
      <c r="F5" s="13"/>
      <c r="G5" s="13"/>
    </row>
    <row r="6" spans="1:7" ht="15.75" customHeight="1" x14ac:dyDescent="0.25">
      <c r="A6" s="15" t="s">
        <v>25</v>
      </c>
      <c r="B6" s="119" t="s">
        <v>26</v>
      </c>
      <c r="C6" s="117"/>
      <c r="D6" s="117"/>
      <c r="E6" s="13"/>
      <c r="F6" s="13"/>
      <c r="G6" s="13"/>
    </row>
    <row r="7" spans="1:7" ht="15.75" customHeight="1" x14ac:dyDescent="0.25">
      <c r="A7" s="15"/>
      <c r="B7" s="13"/>
      <c r="C7" s="26"/>
      <c r="D7" s="13"/>
      <c r="E7" s="13"/>
      <c r="F7" s="13"/>
      <c r="G7" s="13"/>
    </row>
    <row r="8" spans="1:7" ht="15.75" customHeight="1" x14ac:dyDescent="0.25">
      <c r="A8" s="15" t="s">
        <v>27</v>
      </c>
      <c r="B8" s="91"/>
      <c r="C8" s="92" t="s">
        <v>28</v>
      </c>
      <c r="D8" s="93" t="s">
        <v>29</v>
      </c>
      <c r="E8" s="92" t="s">
        <v>30</v>
      </c>
      <c r="F8" s="92" t="s">
        <v>31</v>
      </c>
      <c r="G8" s="89" t="s">
        <v>32</v>
      </c>
    </row>
    <row r="9" spans="1:7" ht="39" x14ac:dyDescent="0.25">
      <c r="A9" s="15"/>
      <c r="B9" s="93" t="s">
        <v>33</v>
      </c>
      <c r="C9" s="94" t="s">
        <v>34</v>
      </c>
      <c r="D9" s="95">
        <v>5</v>
      </c>
      <c r="E9" s="94" t="s">
        <v>35</v>
      </c>
      <c r="F9" s="94" t="s">
        <v>36</v>
      </c>
      <c r="G9" s="90" t="s">
        <v>233</v>
      </c>
    </row>
    <row r="10" spans="1:7" ht="45.75" x14ac:dyDescent="0.25">
      <c r="A10" s="15"/>
      <c r="B10" s="93" t="s">
        <v>37</v>
      </c>
      <c r="C10" s="96" t="s">
        <v>202</v>
      </c>
      <c r="D10" s="95">
        <v>4</v>
      </c>
      <c r="E10" s="94" t="s">
        <v>39</v>
      </c>
      <c r="F10" s="94" t="s">
        <v>40</v>
      </c>
      <c r="G10" s="90" t="s">
        <v>234</v>
      </c>
    </row>
    <row r="11" spans="1:7" ht="45.75" x14ac:dyDescent="0.25">
      <c r="A11" s="15"/>
      <c r="B11" s="93" t="s">
        <v>41</v>
      </c>
      <c r="C11" s="94" t="s">
        <v>42</v>
      </c>
      <c r="D11" s="95">
        <v>5</v>
      </c>
      <c r="E11" s="94" t="s">
        <v>43</v>
      </c>
      <c r="F11" s="94" t="s">
        <v>44</v>
      </c>
      <c r="G11" s="111" t="s">
        <v>235</v>
      </c>
    </row>
    <row r="12" spans="1:7" ht="39" x14ac:dyDescent="0.25">
      <c r="A12" s="15"/>
      <c r="B12" s="93" t="s">
        <v>45</v>
      </c>
      <c r="C12" s="94" t="s">
        <v>46</v>
      </c>
      <c r="D12" s="95">
        <v>4</v>
      </c>
      <c r="E12" s="94" t="s">
        <v>47</v>
      </c>
      <c r="F12" s="94" t="s">
        <v>48</v>
      </c>
      <c r="G12" s="111" t="s">
        <v>236</v>
      </c>
    </row>
    <row r="13" spans="1:7" ht="90.75" x14ac:dyDescent="0.25">
      <c r="A13" s="15"/>
      <c r="B13" s="93" t="s">
        <v>49</v>
      </c>
      <c r="C13" s="94" t="s">
        <v>50</v>
      </c>
      <c r="D13" s="95">
        <v>3</v>
      </c>
      <c r="E13" s="94" t="s">
        <v>51</v>
      </c>
      <c r="F13" s="94" t="s">
        <v>52</v>
      </c>
      <c r="G13" s="90" t="s">
        <v>237</v>
      </c>
    </row>
    <row r="14" spans="1:7" ht="15.75" customHeight="1" x14ac:dyDescent="0.25">
      <c r="A14" s="15"/>
      <c r="B14" s="13"/>
      <c r="C14" s="26"/>
      <c r="D14" s="31">
        <f>AVERAGE(D9:D13)</f>
        <v>4.2</v>
      </c>
      <c r="E14" s="13"/>
      <c r="F14" s="13"/>
      <c r="G14" s="13"/>
    </row>
    <row r="15" spans="1:7" ht="15.75" customHeight="1" x14ac:dyDescent="0.25">
      <c r="A15" s="15"/>
      <c r="B15" s="13"/>
      <c r="C15" s="26"/>
      <c r="D15" s="13"/>
      <c r="E15" s="13"/>
      <c r="F15" s="13"/>
      <c r="G15" s="13"/>
    </row>
    <row r="16" spans="1:7" ht="15.75" customHeight="1" x14ac:dyDescent="0.25">
      <c r="A16" s="15" t="s">
        <v>53</v>
      </c>
      <c r="B16" s="90"/>
      <c r="C16" s="92" t="s">
        <v>54</v>
      </c>
      <c r="D16" s="92" t="s">
        <v>29</v>
      </c>
      <c r="E16" s="92" t="s">
        <v>55</v>
      </c>
      <c r="F16" s="92" t="s">
        <v>31</v>
      </c>
      <c r="G16" s="91"/>
    </row>
    <row r="17" spans="1:26" ht="31.5" x14ac:dyDescent="0.25">
      <c r="A17" s="15"/>
      <c r="B17" s="92" t="s">
        <v>56</v>
      </c>
      <c r="C17" s="94" t="s">
        <v>57</v>
      </c>
      <c r="D17" s="95">
        <v>5</v>
      </c>
      <c r="E17" s="94" t="s">
        <v>58</v>
      </c>
      <c r="F17" s="94" t="s">
        <v>59</v>
      </c>
      <c r="G17" s="90" t="s">
        <v>60</v>
      </c>
    </row>
    <row r="18" spans="1:26" ht="51.75" x14ac:dyDescent="0.25">
      <c r="A18" s="15"/>
      <c r="B18" s="92" t="s">
        <v>61</v>
      </c>
      <c r="C18" s="94" t="s">
        <v>62</v>
      </c>
      <c r="D18" s="95">
        <v>4</v>
      </c>
      <c r="E18" s="94" t="s">
        <v>63</v>
      </c>
      <c r="F18" s="94" t="s">
        <v>64</v>
      </c>
      <c r="G18" s="90" t="s">
        <v>65</v>
      </c>
    </row>
    <row r="19" spans="1:26" ht="153.75" x14ac:dyDescent="0.25">
      <c r="A19" s="15"/>
      <c r="B19" s="92" t="s">
        <v>66</v>
      </c>
      <c r="C19" s="94" t="s">
        <v>67</v>
      </c>
      <c r="D19" s="95">
        <v>3</v>
      </c>
      <c r="E19" s="94" t="s">
        <v>68</v>
      </c>
      <c r="F19" s="94" t="s">
        <v>69</v>
      </c>
      <c r="G19" s="90" t="s">
        <v>70</v>
      </c>
    </row>
    <row r="20" spans="1:26" ht="15.75" customHeight="1" x14ac:dyDescent="0.25">
      <c r="A20" s="15"/>
      <c r="B20" s="13"/>
      <c r="C20" s="26"/>
      <c r="D20" s="13">
        <f>AVERAGE(D17:D19)</f>
        <v>4</v>
      </c>
      <c r="E20" s="13"/>
      <c r="F20" s="13"/>
      <c r="G20" s="13"/>
    </row>
    <row r="21" spans="1:26" ht="15.75" customHeight="1" x14ac:dyDescent="0.25">
      <c r="A21" s="15"/>
      <c r="B21" s="13"/>
      <c r="C21" s="26"/>
      <c r="D21" s="13"/>
      <c r="E21" s="13"/>
      <c r="F21" s="13"/>
      <c r="G21" s="13"/>
    </row>
    <row r="22" spans="1:26" ht="15.75" customHeight="1" x14ac:dyDescent="0.25">
      <c r="A22" s="15" t="s">
        <v>71</v>
      </c>
      <c r="B22" s="13"/>
      <c r="C22" s="26"/>
      <c r="D22" s="13">
        <f>(D20+D14)/2</f>
        <v>4.0999999999999996</v>
      </c>
      <c r="E22" s="13"/>
      <c r="F22" s="13"/>
      <c r="G22" s="13"/>
    </row>
    <row r="23" spans="1:26" ht="15.75" customHeight="1" x14ac:dyDescent="0.25">
      <c r="A23" s="15"/>
      <c r="B23" s="13"/>
      <c r="C23" s="26"/>
      <c r="D23" s="13"/>
      <c r="E23" s="13"/>
      <c r="F23" s="13"/>
      <c r="G23" s="13"/>
    </row>
    <row r="24" spans="1:26" ht="15.75" customHeight="1" x14ac:dyDescent="0.25">
      <c r="A24" s="15" t="s">
        <v>72</v>
      </c>
      <c r="B24" s="116" t="s">
        <v>73</v>
      </c>
      <c r="C24" s="117"/>
      <c r="D24" s="13" t="s">
        <v>74</v>
      </c>
      <c r="E24" s="13"/>
      <c r="F24" s="13"/>
      <c r="G24" s="13"/>
    </row>
    <row r="25" spans="1:26" ht="15" x14ac:dyDescent="0.2">
      <c r="A25" s="13"/>
      <c r="B25" s="35"/>
      <c r="C25" s="14"/>
      <c r="D25" s="13"/>
      <c r="E25" s="13"/>
      <c r="F25" s="13"/>
      <c r="G25" s="13"/>
    </row>
    <row r="26" spans="1:26" ht="15" x14ac:dyDescent="0.2">
      <c r="A26" s="13"/>
      <c r="B26" s="35"/>
      <c r="C26" s="14"/>
      <c r="D26" s="13"/>
      <c r="E26" s="13"/>
      <c r="F26" s="13"/>
      <c r="G26" s="13"/>
    </row>
    <row r="27" spans="1:26" ht="15" x14ac:dyDescent="0.2">
      <c r="A27" s="13"/>
      <c r="B27" s="35"/>
      <c r="C27" s="14"/>
      <c r="D27" s="13"/>
      <c r="E27" s="13"/>
      <c r="F27" s="13"/>
      <c r="G27" s="13"/>
    </row>
    <row r="28" spans="1:26" ht="30" x14ac:dyDescent="0.2">
      <c r="A28" s="13"/>
      <c r="B28" s="35"/>
      <c r="C28" s="14" t="s">
        <v>75</v>
      </c>
      <c r="D28" s="13"/>
      <c r="E28" s="13"/>
      <c r="F28" s="13"/>
      <c r="G28" s="13"/>
    </row>
    <row r="29" spans="1:26" ht="12.75" x14ac:dyDescent="0.2">
      <c r="A29" s="13"/>
      <c r="B29" s="13"/>
      <c r="C29" s="26"/>
      <c r="D29" s="13"/>
      <c r="E29" s="13"/>
      <c r="F29" s="13"/>
      <c r="G29" s="13"/>
    </row>
    <row r="30" spans="1:26" ht="12.75" x14ac:dyDescent="0.2">
      <c r="A30" s="36"/>
      <c r="B30" s="36"/>
      <c r="C30" s="87"/>
      <c r="D30" s="36"/>
      <c r="E30" s="36"/>
      <c r="F30" s="36"/>
      <c r="G30" s="36"/>
      <c r="H30" s="37"/>
      <c r="I30" s="37"/>
      <c r="J30" s="37"/>
      <c r="K30" s="37"/>
      <c r="L30" s="37"/>
      <c r="M30" s="37"/>
      <c r="N30" s="37"/>
      <c r="O30" s="37"/>
      <c r="P30" s="37"/>
      <c r="Q30" s="37"/>
      <c r="R30" s="37"/>
      <c r="S30" s="37"/>
      <c r="T30" s="37"/>
      <c r="U30" s="37"/>
      <c r="V30" s="37"/>
      <c r="W30" s="37"/>
      <c r="X30" s="37"/>
      <c r="Y30" s="37"/>
      <c r="Z30" s="37"/>
    </row>
    <row r="31" spans="1:26" ht="12.75" x14ac:dyDescent="0.2">
      <c r="A31" s="13"/>
      <c r="B31" s="13"/>
      <c r="C31" s="26"/>
      <c r="D31" s="13"/>
      <c r="E31" s="13"/>
      <c r="F31" s="13"/>
      <c r="G31" s="13"/>
    </row>
    <row r="32" spans="1:26" ht="15.75" customHeight="1" x14ac:dyDescent="0.25">
      <c r="A32" s="99" t="s">
        <v>212</v>
      </c>
      <c r="B32" s="120" t="s">
        <v>14</v>
      </c>
      <c r="C32" s="117"/>
      <c r="D32" s="117"/>
      <c r="E32" s="13"/>
      <c r="F32" s="13"/>
      <c r="G32" s="13"/>
    </row>
    <row r="33" spans="1:7" ht="15.75" customHeight="1" x14ac:dyDescent="0.25">
      <c r="A33" s="15" t="s">
        <v>25</v>
      </c>
      <c r="B33" s="119" t="s">
        <v>26</v>
      </c>
      <c r="C33" s="117"/>
      <c r="D33" s="117"/>
      <c r="E33" s="13"/>
      <c r="F33" s="13"/>
      <c r="G33" s="13"/>
    </row>
    <row r="34" spans="1:7" ht="15.75" customHeight="1" x14ac:dyDescent="0.25">
      <c r="A34" s="15"/>
      <c r="B34" s="13"/>
      <c r="C34" s="26"/>
      <c r="D34" s="13"/>
      <c r="E34" s="13"/>
      <c r="F34" s="13"/>
      <c r="G34" s="13"/>
    </row>
    <row r="35" spans="1:7" ht="15.75" customHeight="1" x14ac:dyDescent="0.25">
      <c r="A35" s="15" t="s">
        <v>27</v>
      </c>
      <c r="B35" s="91"/>
      <c r="C35" s="92" t="s">
        <v>76</v>
      </c>
      <c r="D35" s="93" t="s">
        <v>29</v>
      </c>
      <c r="E35" s="92" t="s">
        <v>30</v>
      </c>
      <c r="F35" s="92" t="s">
        <v>31</v>
      </c>
      <c r="G35" s="89"/>
    </row>
    <row r="36" spans="1:7" ht="51.75" x14ac:dyDescent="0.25">
      <c r="A36" s="15"/>
      <c r="B36" s="93" t="s">
        <v>33</v>
      </c>
      <c r="C36" s="94" t="s">
        <v>77</v>
      </c>
      <c r="D36" s="95">
        <v>2</v>
      </c>
      <c r="E36" s="94" t="s">
        <v>78</v>
      </c>
      <c r="F36" s="94" t="s">
        <v>36</v>
      </c>
      <c r="G36" s="97" t="s">
        <v>238</v>
      </c>
    </row>
    <row r="37" spans="1:7" ht="64.5" x14ac:dyDescent="0.25">
      <c r="A37" s="15"/>
      <c r="B37" s="93" t="s">
        <v>37</v>
      </c>
      <c r="C37" s="94" t="s">
        <v>79</v>
      </c>
      <c r="D37" s="95">
        <v>3</v>
      </c>
      <c r="E37" s="94" t="s">
        <v>80</v>
      </c>
      <c r="F37" s="94" t="s">
        <v>81</v>
      </c>
      <c r="G37" s="97" t="s">
        <v>239</v>
      </c>
    </row>
    <row r="38" spans="1:7" ht="45.75" x14ac:dyDescent="0.25">
      <c r="A38" s="15"/>
      <c r="B38" s="93" t="s">
        <v>41</v>
      </c>
      <c r="C38" s="94" t="s">
        <v>82</v>
      </c>
      <c r="D38" s="95">
        <v>4</v>
      </c>
      <c r="E38" s="94" t="s">
        <v>83</v>
      </c>
      <c r="F38" s="94" t="s">
        <v>44</v>
      </c>
      <c r="G38" s="90" t="s">
        <v>240</v>
      </c>
    </row>
    <row r="39" spans="1:7" ht="39" x14ac:dyDescent="0.25">
      <c r="A39" s="15"/>
      <c r="B39" s="93" t="s">
        <v>45</v>
      </c>
      <c r="C39" s="94" t="s">
        <v>46</v>
      </c>
      <c r="D39" s="95">
        <v>5</v>
      </c>
      <c r="E39" s="94" t="s">
        <v>84</v>
      </c>
      <c r="F39" s="94" t="s">
        <v>85</v>
      </c>
      <c r="G39" s="97" t="s">
        <v>241</v>
      </c>
    </row>
    <row r="40" spans="1:7" ht="51.75" x14ac:dyDescent="0.25">
      <c r="A40" s="15"/>
      <c r="B40" s="93" t="s">
        <v>49</v>
      </c>
      <c r="C40" s="94" t="s">
        <v>86</v>
      </c>
      <c r="D40" s="95">
        <v>3</v>
      </c>
      <c r="E40" s="94" t="s">
        <v>87</v>
      </c>
      <c r="F40" s="94" t="s">
        <v>88</v>
      </c>
      <c r="G40" s="90" t="s">
        <v>242</v>
      </c>
    </row>
    <row r="41" spans="1:7" ht="18" x14ac:dyDescent="0.25">
      <c r="A41" s="15"/>
      <c r="B41" s="13"/>
      <c r="C41" s="26"/>
      <c r="D41" s="31">
        <f>AVERAGE(D36:D40)</f>
        <v>3.4</v>
      </c>
      <c r="E41" s="13"/>
      <c r="F41" s="13"/>
      <c r="G41" s="13"/>
    </row>
    <row r="42" spans="1:7" ht="18" x14ac:dyDescent="0.25">
      <c r="A42" s="15"/>
      <c r="B42" s="13"/>
      <c r="C42" s="26"/>
      <c r="D42" s="13"/>
      <c r="E42" s="13"/>
      <c r="F42" s="13"/>
      <c r="G42" s="13"/>
    </row>
    <row r="43" spans="1:7" ht="36" x14ac:dyDescent="0.25">
      <c r="A43" s="15" t="s">
        <v>53</v>
      </c>
      <c r="B43" s="32"/>
      <c r="C43" s="19" t="s">
        <v>89</v>
      </c>
      <c r="D43" s="19" t="s">
        <v>29</v>
      </c>
      <c r="E43" s="19" t="s">
        <v>55</v>
      </c>
      <c r="F43" s="20" t="s">
        <v>31</v>
      </c>
      <c r="G43" s="13"/>
    </row>
    <row r="44" spans="1:7" ht="31.5" x14ac:dyDescent="0.25">
      <c r="A44" s="15"/>
      <c r="B44" s="33" t="s">
        <v>56</v>
      </c>
      <c r="C44" s="23" t="s">
        <v>90</v>
      </c>
      <c r="D44" s="24">
        <v>5</v>
      </c>
      <c r="E44" s="23" t="s">
        <v>58</v>
      </c>
      <c r="F44" s="25" t="s">
        <v>59</v>
      </c>
      <c r="G44" s="98" t="s">
        <v>203</v>
      </c>
    </row>
    <row r="45" spans="1:7" ht="45.75" x14ac:dyDescent="0.25">
      <c r="A45" s="15"/>
      <c r="B45" s="33" t="s">
        <v>61</v>
      </c>
      <c r="C45" s="23" t="s">
        <v>91</v>
      </c>
      <c r="D45" s="24">
        <v>4</v>
      </c>
      <c r="E45" s="23" t="s">
        <v>63</v>
      </c>
      <c r="F45" s="25" t="s">
        <v>64</v>
      </c>
      <c r="G45" s="98" t="s">
        <v>208</v>
      </c>
    </row>
    <row r="46" spans="1:7" ht="31.5" x14ac:dyDescent="0.25">
      <c r="A46" s="15"/>
      <c r="B46" s="34" t="s">
        <v>66</v>
      </c>
      <c r="C46" s="28" t="s">
        <v>92</v>
      </c>
      <c r="D46" s="29">
        <v>3</v>
      </c>
      <c r="E46" s="28" t="s">
        <v>68</v>
      </c>
      <c r="F46" s="30" t="s">
        <v>93</v>
      </c>
      <c r="G46" s="98" t="s">
        <v>204</v>
      </c>
    </row>
    <row r="47" spans="1:7" ht="18" x14ac:dyDescent="0.25">
      <c r="A47" s="15"/>
      <c r="B47" s="13"/>
      <c r="C47" s="26"/>
      <c r="D47" s="13">
        <f>AVERAGE(D44:D46)</f>
        <v>4</v>
      </c>
      <c r="E47" s="13"/>
      <c r="F47" s="13"/>
      <c r="G47" s="13"/>
    </row>
    <row r="48" spans="1:7" ht="18" x14ac:dyDescent="0.25">
      <c r="A48" s="15"/>
      <c r="B48" s="13"/>
      <c r="C48" s="26"/>
      <c r="D48" s="13"/>
      <c r="E48" s="13"/>
      <c r="F48" s="13"/>
      <c r="G48" s="13"/>
    </row>
    <row r="49" spans="1:7" ht="18" x14ac:dyDescent="0.25">
      <c r="A49" s="15" t="s">
        <v>71</v>
      </c>
      <c r="B49" s="13"/>
      <c r="C49" s="26"/>
      <c r="D49" s="13">
        <f>(D47+D41)/2</f>
        <v>3.7</v>
      </c>
      <c r="E49" s="13"/>
      <c r="F49" s="13"/>
      <c r="G49" s="13"/>
    </row>
    <row r="50" spans="1:7" ht="18" x14ac:dyDescent="0.25">
      <c r="A50" s="15"/>
      <c r="B50" s="13"/>
      <c r="C50" s="26"/>
      <c r="D50" s="13"/>
      <c r="E50" s="13"/>
      <c r="F50" s="13"/>
      <c r="G50" s="13"/>
    </row>
    <row r="51" spans="1:7" ht="18" x14ac:dyDescent="0.25">
      <c r="A51" s="15" t="s">
        <v>72</v>
      </c>
      <c r="B51" s="116" t="s">
        <v>73</v>
      </c>
      <c r="C51" s="117"/>
      <c r="D51" s="13" t="s">
        <v>74</v>
      </c>
      <c r="E51" s="13"/>
      <c r="F51" s="13"/>
      <c r="G51" s="13"/>
    </row>
    <row r="52" spans="1:7" ht="15" x14ac:dyDescent="0.2">
      <c r="A52" s="13"/>
      <c r="B52" s="35"/>
      <c r="C52" s="14"/>
      <c r="D52" s="13"/>
      <c r="E52" s="13"/>
      <c r="F52" s="13"/>
      <c r="G52" s="13"/>
    </row>
    <row r="53" spans="1:7" ht="15" x14ac:dyDescent="0.2">
      <c r="A53" s="13"/>
      <c r="B53" s="35"/>
      <c r="C53" s="14"/>
      <c r="D53" s="13"/>
      <c r="E53" s="13"/>
      <c r="F53" s="13"/>
      <c r="G53" s="13"/>
    </row>
    <row r="54" spans="1:7" ht="15" x14ac:dyDescent="0.2">
      <c r="A54" s="13"/>
      <c r="B54" s="35"/>
      <c r="C54" s="14"/>
      <c r="D54" s="13"/>
      <c r="E54" s="13"/>
      <c r="F54" s="13"/>
      <c r="G54" s="13"/>
    </row>
    <row r="55" spans="1:7" ht="30" x14ac:dyDescent="0.2">
      <c r="A55" s="13"/>
      <c r="B55" s="35"/>
      <c r="C55" s="14" t="s">
        <v>75</v>
      </c>
      <c r="D55" s="13"/>
      <c r="E55" s="13"/>
      <c r="F55" s="13"/>
      <c r="G55" s="13"/>
    </row>
    <row r="57" spans="1:7" ht="12.75" x14ac:dyDescent="0.2">
      <c r="A57" s="36"/>
      <c r="B57" s="36"/>
      <c r="C57" s="87"/>
      <c r="D57" s="36"/>
      <c r="E57" s="36"/>
      <c r="F57" s="36"/>
      <c r="G57" s="36"/>
    </row>
    <row r="58" spans="1:7" ht="12.75" x14ac:dyDescent="0.2">
      <c r="A58" s="13"/>
      <c r="B58" s="13"/>
      <c r="C58" s="26"/>
      <c r="D58" s="13"/>
      <c r="E58" s="13"/>
      <c r="F58" s="13"/>
      <c r="G58" s="13"/>
    </row>
    <row r="59" spans="1:7" ht="18" x14ac:dyDescent="0.25">
      <c r="A59" s="99" t="s">
        <v>213</v>
      </c>
      <c r="B59" s="118" t="s">
        <v>16</v>
      </c>
      <c r="C59" s="117"/>
      <c r="D59" s="117"/>
      <c r="E59" s="13"/>
      <c r="F59" s="13"/>
      <c r="G59" s="13"/>
    </row>
    <row r="60" spans="1:7" ht="18" x14ac:dyDescent="0.25">
      <c r="A60" s="15" t="s">
        <v>25</v>
      </c>
      <c r="B60" s="119" t="s">
        <v>26</v>
      </c>
      <c r="C60" s="117"/>
      <c r="D60" s="117"/>
      <c r="E60" s="13"/>
      <c r="F60" s="13"/>
      <c r="G60" s="13"/>
    </row>
    <row r="61" spans="1:7" ht="18" x14ac:dyDescent="0.25">
      <c r="A61" s="15"/>
      <c r="B61" s="13"/>
      <c r="C61" s="26"/>
      <c r="D61" s="13"/>
      <c r="E61" s="13"/>
      <c r="F61" s="13"/>
      <c r="G61" s="13"/>
    </row>
    <row r="62" spans="1:7" ht="18" x14ac:dyDescent="0.25">
      <c r="A62" s="15" t="s">
        <v>27</v>
      </c>
      <c r="B62" s="17"/>
      <c r="C62" s="86" t="s">
        <v>94</v>
      </c>
      <c r="D62" s="18" t="s">
        <v>29</v>
      </c>
      <c r="E62" s="19" t="s">
        <v>30</v>
      </c>
      <c r="F62" s="20" t="s">
        <v>31</v>
      </c>
      <c r="G62" s="21" t="s">
        <v>32</v>
      </c>
    </row>
    <row r="63" spans="1:7" ht="64.5" x14ac:dyDescent="0.25">
      <c r="A63" s="15"/>
      <c r="B63" s="22" t="s">
        <v>33</v>
      </c>
      <c r="C63" s="23" t="s">
        <v>95</v>
      </c>
      <c r="D63" s="24">
        <v>2</v>
      </c>
      <c r="E63" s="23" t="s">
        <v>96</v>
      </c>
      <c r="F63" s="25" t="s">
        <v>36</v>
      </c>
      <c r="G63" s="98" t="s">
        <v>243</v>
      </c>
    </row>
    <row r="64" spans="1:7" ht="64.5" x14ac:dyDescent="0.25">
      <c r="A64" s="15"/>
      <c r="B64" s="22" t="s">
        <v>37</v>
      </c>
      <c r="C64" s="23" t="s">
        <v>97</v>
      </c>
      <c r="D64" s="24">
        <v>3</v>
      </c>
      <c r="E64" s="23" t="s">
        <v>98</v>
      </c>
      <c r="F64" s="25" t="s">
        <v>99</v>
      </c>
      <c r="G64" s="26" t="s">
        <v>244</v>
      </c>
    </row>
    <row r="65" spans="1:7" ht="51.75" x14ac:dyDescent="0.25">
      <c r="A65" s="15"/>
      <c r="B65" s="22" t="s">
        <v>41</v>
      </c>
      <c r="C65" s="23" t="s">
        <v>100</v>
      </c>
      <c r="D65" s="24">
        <v>4</v>
      </c>
      <c r="E65" s="23" t="s">
        <v>101</v>
      </c>
      <c r="F65" s="25" t="s">
        <v>44</v>
      </c>
      <c r="G65" s="26" t="s">
        <v>245</v>
      </c>
    </row>
    <row r="66" spans="1:7" ht="39" x14ac:dyDescent="0.25">
      <c r="A66" s="15"/>
      <c r="B66" s="22" t="s">
        <v>45</v>
      </c>
      <c r="C66" s="23" t="s">
        <v>46</v>
      </c>
      <c r="D66" s="24">
        <v>5</v>
      </c>
      <c r="E66" s="23" t="s">
        <v>102</v>
      </c>
      <c r="F66" s="25" t="s">
        <v>103</v>
      </c>
      <c r="G66" s="26" t="s">
        <v>246</v>
      </c>
    </row>
    <row r="67" spans="1:7" ht="64.5" x14ac:dyDescent="0.25">
      <c r="A67" s="15"/>
      <c r="B67" s="27" t="s">
        <v>49</v>
      </c>
      <c r="C67" s="28" t="s">
        <v>104</v>
      </c>
      <c r="D67" s="29">
        <v>2</v>
      </c>
      <c r="E67" s="28" t="s">
        <v>105</v>
      </c>
      <c r="F67" s="30" t="s">
        <v>106</v>
      </c>
      <c r="G67" s="26" t="s">
        <v>247</v>
      </c>
    </row>
    <row r="68" spans="1:7" ht="18" x14ac:dyDescent="0.25">
      <c r="A68" s="15"/>
      <c r="B68" s="13"/>
      <c r="C68" s="26"/>
      <c r="D68" s="31">
        <f>AVERAGE(D63:D67)</f>
        <v>3.2</v>
      </c>
      <c r="E68" s="13"/>
      <c r="F68" s="13"/>
      <c r="G68" s="13"/>
    </row>
    <row r="69" spans="1:7" ht="18" x14ac:dyDescent="0.25">
      <c r="A69" s="15"/>
      <c r="B69" s="13"/>
      <c r="C69" s="26"/>
      <c r="D69" s="13"/>
      <c r="E69" s="13"/>
      <c r="F69" s="13"/>
      <c r="G69" s="13"/>
    </row>
    <row r="70" spans="1:7" ht="36" x14ac:dyDescent="0.25">
      <c r="A70" s="15" t="s">
        <v>53</v>
      </c>
      <c r="B70" s="32"/>
      <c r="C70" s="19" t="s">
        <v>107</v>
      </c>
      <c r="D70" s="19" t="s">
        <v>29</v>
      </c>
      <c r="E70" s="19" t="s">
        <v>55</v>
      </c>
      <c r="F70" s="20" t="s">
        <v>31</v>
      </c>
      <c r="G70" s="13"/>
    </row>
    <row r="71" spans="1:7" ht="31.5" x14ac:dyDescent="0.25">
      <c r="A71" s="15"/>
      <c r="B71" s="33" t="s">
        <v>56</v>
      </c>
      <c r="C71" s="23" t="s">
        <v>108</v>
      </c>
      <c r="D71" s="24">
        <v>5</v>
      </c>
      <c r="E71" s="23" t="s">
        <v>58</v>
      </c>
      <c r="F71" s="25" t="s">
        <v>59</v>
      </c>
      <c r="G71" s="98"/>
    </row>
    <row r="72" spans="1:7" ht="45.75" x14ac:dyDescent="0.25">
      <c r="A72" s="15"/>
      <c r="B72" s="33" t="s">
        <v>61</v>
      </c>
      <c r="C72" s="23" t="s">
        <v>109</v>
      </c>
      <c r="D72" s="24">
        <v>4</v>
      </c>
      <c r="E72" s="23" t="s">
        <v>63</v>
      </c>
      <c r="F72" s="25" t="s">
        <v>64</v>
      </c>
      <c r="G72" s="98"/>
    </row>
    <row r="73" spans="1:7" ht="31.5" x14ac:dyDescent="0.25">
      <c r="A73" s="15"/>
      <c r="B73" s="34" t="s">
        <v>66</v>
      </c>
      <c r="C73" s="28" t="s">
        <v>110</v>
      </c>
      <c r="D73" s="29">
        <v>3</v>
      </c>
      <c r="E73" s="28" t="s">
        <v>68</v>
      </c>
      <c r="F73" s="30" t="s">
        <v>111</v>
      </c>
      <c r="G73" s="26"/>
    </row>
    <row r="74" spans="1:7" ht="18" x14ac:dyDescent="0.25">
      <c r="A74" s="15"/>
      <c r="B74" s="13"/>
      <c r="C74" s="26"/>
      <c r="D74" s="13">
        <f>AVERAGE(D71:D73)</f>
        <v>4</v>
      </c>
      <c r="E74" s="13"/>
      <c r="F74" s="13"/>
      <c r="G74" s="13"/>
    </row>
    <row r="75" spans="1:7" ht="18" x14ac:dyDescent="0.25">
      <c r="A75" s="15"/>
      <c r="B75" s="13"/>
      <c r="C75" s="26"/>
      <c r="D75" s="13"/>
      <c r="E75" s="13"/>
      <c r="F75" s="13"/>
      <c r="G75" s="13"/>
    </row>
    <row r="76" spans="1:7" ht="18" x14ac:dyDescent="0.25">
      <c r="A76" s="15" t="s">
        <v>71</v>
      </c>
      <c r="B76" s="13"/>
      <c r="C76" s="26"/>
      <c r="D76" s="13">
        <f>(D74+D68)/2</f>
        <v>3.6</v>
      </c>
      <c r="E76" s="13"/>
      <c r="F76" s="13"/>
      <c r="G76" s="13"/>
    </row>
    <row r="77" spans="1:7" ht="18" x14ac:dyDescent="0.25">
      <c r="A77" s="15"/>
      <c r="B77" s="13"/>
      <c r="C77" s="26"/>
      <c r="D77" s="13"/>
      <c r="E77" s="13"/>
      <c r="F77" s="13"/>
      <c r="G77" s="13"/>
    </row>
    <row r="78" spans="1:7" ht="18" x14ac:dyDescent="0.25">
      <c r="A78" s="15" t="s">
        <v>72</v>
      </c>
      <c r="B78" s="116" t="s">
        <v>73</v>
      </c>
      <c r="C78" s="117"/>
      <c r="D78" s="13" t="s">
        <v>74</v>
      </c>
      <c r="E78" s="13"/>
      <c r="F78" s="13"/>
      <c r="G78" s="13"/>
    </row>
    <row r="79" spans="1:7" ht="15" x14ac:dyDescent="0.2">
      <c r="A79" s="13"/>
      <c r="B79" s="35"/>
      <c r="C79" s="14"/>
      <c r="D79" s="13"/>
      <c r="E79" s="13"/>
      <c r="F79" s="13"/>
      <c r="G79" s="13"/>
    </row>
    <row r="80" spans="1:7" ht="15" x14ac:dyDescent="0.2">
      <c r="A80" s="13"/>
      <c r="B80" s="35"/>
      <c r="C80" s="14"/>
      <c r="D80" s="13"/>
      <c r="E80" s="13"/>
      <c r="F80" s="13"/>
      <c r="G80" s="13"/>
    </row>
    <row r="81" spans="1:7" ht="15" x14ac:dyDescent="0.2">
      <c r="A81" s="13"/>
      <c r="B81" s="35"/>
      <c r="C81" s="14"/>
      <c r="D81" s="13"/>
      <c r="E81" s="13"/>
      <c r="F81" s="13"/>
      <c r="G81" s="13"/>
    </row>
    <row r="82" spans="1:7" ht="12.75" x14ac:dyDescent="0.2">
      <c r="A82" s="36"/>
      <c r="B82" s="36"/>
      <c r="C82" s="87"/>
      <c r="D82" s="36"/>
      <c r="E82" s="36"/>
      <c r="F82" s="36"/>
      <c r="G82" s="36"/>
    </row>
    <row r="83" spans="1:7" ht="12.75" x14ac:dyDescent="0.2">
      <c r="A83" s="13"/>
      <c r="B83" s="13"/>
      <c r="C83" s="26"/>
      <c r="D83" s="13"/>
      <c r="E83" s="13"/>
      <c r="F83" s="13"/>
      <c r="G83" s="13"/>
    </row>
    <row r="84" spans="1:7" ht="18" x14ac:dyDescent="0.25">
      <c r="A84" s="99" t="s">
        <v>214</v>
      </c>
      <c r="B84" s="118" t="s">
        <v>206</v>
      </c>
      <c r="C84" s="117"/>
      <c r="D84" s="117"/>
      <c r="E84" s="13"/>
      <c r="F84" s="13"/>
      <c r="G84" s="13"/>
    </row>
    <row r="85" spans="1:7" ht="18" x14ac:dyDescent="0.25">
      <c r="A85" s="15" t="s">
        <v>25</v>
      </c>
      <c r="B85" s="119" t="s">
        <v>26</v>
      </c>
      <c r="C85" s="117"/>
      <c r="D85" s="117"/>
      <c r="E85" s="13"/>
      <c r="F85" s="13"/>
      <c r="G85" s="13"/>
    </row>
    <row r="86" spans="1:7" ht="18.75" thickBot="1" x14ac:dyDescent="0.3">
      <c r="A86" s="15"/>
      <c r="C86" s="26"/>
      <c r="D86" s="13"/>
      <c r="E86" s="13"/>
      <c r="F86" s="13"/>
      <c r="G86" s="13"/>
    </row>
    <row r="87" spans="1:7" ht="18" x14ac:dyDescent="0.25">
      <c r="A87" s="15" t="s">
        <v>27</v>
      </c>
      <c r="B87" s="13"/>
      <c r="C87" s="86" t="s">
        <v>28</v>
      </c>
      <c r="D87" s="18" t="s">
        <v>29</v>
      </c>
      <c r="E87" s="19" t="s">
        <v>30</v>
      </c>
      <c r="F87" s="20" t="s">
        <v>31</v>
      </c>
      <c r="G87" s="21" t="s">
        <v>32</v>
      </c>
    </row>
    <row r="88" spans="1:7" ht="77.25" x14ac:dyDescent="0.25">
      <c r="A88" s="15"/>
      <c r="B88" s="22" t="s">
        <v>33</v>
      </c>
      <c r="C88" s="23" t="s">
        <v>34</v>
      </c>
      <c r="D88" s="24">
        <v>3</v>
      </c>
      <c r="E88" s="23" t="s">
        <v>35</v>
      </c>
      <c r="F88" s="25" t="s">
        <v>36</v>
      </c>
      <c r="G88" s="98" t="s">
        <v>248</v>
      </c>
    </row>
    <row r="89" spans="1:7" ht="77.25" x14ac:dyDescent="0.25">
      <c r="A89" s="15"/>
      <c r="B89" s="22" t="s">
        <v>37</v>
      </c>
      <c r="C89" s="23" t="s">
        <v>38</v>
      </c>
      <c r="D89" s="24">
        <v>2</v>
      </c>
      <c r="E89" s="23" t="s">
        <v>39</v>
      </c>
      <c r="F89" s="25" t="s">
        <v>40</v>
      </c>
      <c r="G89" s="98" t="s">
        <v>249</v>
      </c>
    </row>
    <row r="90" spans="1:7" ht="77.25" x14ac:dyDescent="0.25">
      <c r="A90" s="15"/>
      <c r="B90" s="22" t="s">
        <v>41</v>
      </c>
      <c r="C90" s="23" t="s">
        <v>42</v>
      </c>
      <c r="D90" s="24">
        <v>4</v>
      </c>
      <c r="E90" s="23" t="s">
        <v>43</v>
      </c>
      <c r="F90" s="25" t="s">
        <v>44</v>
      </c>
      <c r="G90" s="98" t="s">
        <v>250</v>
      </c>
    </row>
    <row r="91" spans="1:7" ht="64.5" x14ac:dyDescent="0.25">
      <c r="A91" s="15"/>
      <c r="B91" s="22" t="s">
        <v>45</v>
      </c>
      <c r="C91" s="23" t="s">
        <v>46</v>
      </c>
      <c r="D91" s="24">
        <v>2</v>
      </c>
      <c r="E91" s="23" t="s">
        <v>47</v>
      </c>
      <c r="F91" s="25" t="s">
        <v>48</v>
      </c>
      <c r="G91" s="98" t="s">
        <v>251</v>
      </c>
    </row>
    <row r="92" spans="1:7" ht="52.5" thickBot="1" x14ac:dyDescent="0.3">
      <c r="A92" s="15"/>
      <c r="B92" s="27" t="s">
        <v>49</v>
      </c>
      <c r="C92" s="28" t="s">
        <v>86</v>
      </c>
      <c r="D92" s="29">
        <v>5</v>
      </c>
      <c r="E92" s="28" t="s">
        <v>51</v>
      </c>
      <c r="F92" s="30" t="s">
        <v>52</v>
      </c>
      <c r="G92" s="98" t="s">
        <v>252</v>
      </c>
    </row>
    <row r="93" spans="1:7" ht="18" x14ac:dyDescent="0.25">
      <c r="A93" s="15"/>
      <c r="B93" s="13"/>
      <c r="C93" s="26"/>
      <c r="D93" s="31">
        <f>AVERAGE(D88:D92)</f>
        <v>3.2</v>
      </c>
      <c r="E93" s="13"/>
      <c r="F93" s="13"/>
      <c r="G93" s="13"/>
    </row>
    <row r="94" spans="1:7" ht="18.75" thickBot="1" x14ac:dyDescent="0.3">
      <c r="A94" s="15"/>
      <c r="B94" s="13"/>
      <c r="C94" s="26"/>
      <c r="D94" s="13"/>
      <c r="E94" s="13"/>
      <c r="F94" s="13"/>
      <c r="G94" s="13"/>
    </row>
    <row r="95" spans="1:7" ht="36" x14ac:dyDescent="0.25">
      <c r="A95" s="15" t="s">
        <v>53</v>
      </c>
      <c r="B95" s="32"/>
      <c r="C95" s="19" t="s">
        <v>54</v>
      </c>
      <c r="D95" s="19" t="s">
        <v>29</v>
      </c>
      <c r="E95" s="19" t="s">
        <v>55</v>
      </c>
      <c r="F95" s="20" t="s">
        <v>31</v>
      </c>
      <c r="G95" s="13"/>
    </row>
    <row r="96" spans="1:7" ht="31.5" x14ac:dyDescent="0.25">
      <c r="A96" s="15"/>
      <c r="B96" s="33" t="s">
        <v>56</v>
      </c>
      <c r="C96" s="23" t="s">
        <v>57</v>
      </c>
      <c r="D96" s="24">
        <v>5</v>
      </c>
      <c r="E96" s="23" t="s">
        <v>58</v>
      </c>
      <c r="F96" s="25" t="s">
        <v>59</v>
      </c>
      <c r="G96" s="26"/>
    </row>
    <row r="97" spans="1:7" ht="45.75" x14ac:dyDescent="0.25">
      <c r="A97" s="15"/>
      <c r="B97" s="33" t="s">
        <v>61</v>
      </c>
      <c r="C97" s="23" t="s">
        <v>62</v>
      </c>
      <c r="D97" s="24">
        <v>4</v>
      </c>
      <c r="E97" s="23" t="s">
        <v>63</v>
      </c>
      <c r="F97" s="25" t="s">
        <v>64</v>
      </c>
      <c r="G97" s="26"/>
    </row>
    <row r="98" spans="1:7" ht="32.25" thickBot="1" x14ac:dyDescent="0.3">
      <c r="A98" s="15"/>
      <c r="B98" s="34" t="s">
        <v>66</v>
      </c>
      <c r="C98" s="28" t="s">
        <v>67</v>
      </c>
      <c r="D98" s="29">
        <v>3</v>
      </c>
      <c r="E98" s="28" t="s">
        <v>68</v>
      </c>
      <c r="F98" s="30" t="s">
        <v>69</v>
      </c>
      <c r="G98" s="26"/>
    </row>
    <row r="99" spans="1:7" ht="18" x14ac:dyDescent="0.25">
      <c r="A99" s="15"/>
      <c r="B99" s="13"/>
      <c r="C99" s="26"/>
      <c r="D99" s="13">
        <f>AVERAGE(D96:D98)</f>
        <v>4</v>
      </c>
      <c r="E99" s="13"/>
      <c r="F99" s="13"/>
      <c r="G99" s="13"/>
    </row>
    <row r="100" spans="1:7" ht="18" x14ac:dyDescent="0.25">
      <c r="A100" s="15"/>
      <c r="B100" s="13"/>
      <c r="C100" s="26"/>
      <c r="D100" s="13"/>
      <c r="E100" s="13"/>
      <c r="F100" s="13"/>
      <c r="G100" s="13"/>
    </row>
    <row r="101" spans="1:7" ht="18" x14ac:dyDescent="0.25">
      <c r="A101" s="15" t="s">
        <v>71</v>
      </c>
      <c r="B101" s="13"/>
      <c r="C101" s="26"/>
      <c r="D101" s="13">
        <f>(D99+D93)/2</f>
        <v>3.6</v>
      </c>
      <c r="E101" s="13"/>
      <c r="F101" s="13"/>
      <c r="G101" s="13"/>
    </row>
    <row r="102" spans="1:7" ht="18" x14ac:dyDescent="0.25">
      <c r="A102" s="15"/>
      <c r="B102" s="13"/>
      <c r="C102" s="26"/>
      <c r="D102" s="13"/>
      <c r="E102" s="13"/>
      <c r="F102" s="13"/>
      <c r="G102" s="13"/>
    </row>
    <row r="103" spans="1:7" ht="18" x14ac:dyDescent="0.25">
      <c r="A103" s="15" t="s">
        <v>72</v>
      </c>
      <c r="B103" s="116" t="s">
        <v>73</v>
      </c>
      <c r="C103" s="117"/>
      <c r="D103" s="13" t="s">
        <v>74</v>
      </c>
      <c r="E103" s="13"/>
      <c r="F103" s="13"/>
      <c r="G103" s="13"/>
    </row>
    <row r="106" spans="1:7" ht="12.75" x14ac:dyDescent="0.2">
      <c r="A106" s="36"/>
      <c r="B106" s="36"/>
      <c r="C106" s="87"/>
      <c r="D106" s="36"/>
      <c r="E106" s="36"/>
      <c r="F106" s="36"/>
      <c r="G106" s="36"/>
    </row>
    <row r="107" spans="1:7" ht="12.75" x14ac:dyDescent="0.2">
      <c r="A107" s="13"/>
      <c r="B107" s="13"/>
      <c r="C107" s="26"/>
      <c r="D107" s="13"/>
      <c r="E107" s="13"/>
      <c r="F107" s="13"/>
      <c r="G107" s="13"/>
    </row>
    <row r="108" spans="1:7" ht="18" x14ac:dyDescent="0.25">
      <c r="A108" s="99" t="s">
        <v>215</v>
      </c>
      <c r="B108" s="118" t="s">
        <v>20</v>
      </c>
      <c r="C108" s="117"/>
      <c r="D108" s="117"/>
      <c r="E108" s="13"/>
      <c r="F108" s="13"/>
      <c r="G108" s="13"/>
    </row>
    <row r="109" spans="1:7" ht="18" x14ac:dyDescent="0.25">
      <c r="A109" s="15" t="s">
        <v>25</v>
      </c>
      <c r="B109" s="119" t="s">
        <v>26</v>
      </c>
      <c r="C109" s="117"/>
      <c r="D109" s="117"/>
      <c r="E109" s="13"/>
      <c r="F109" s="13"/>
      <c r="G109" s="13"/>
    </row>
    <row r="110" spans="1:7" ht="18.75" thickBot="1" x14ac:dyDescent="0.3">
      <c r="A110" s="15"/>
      <c r="B110" s="13"/>
      <c r="C110" s="26"/>
      <c r="D110" s="13"/>
      <c r="E110" s="13"/>
      <c r="F110" s="13"/>
      <c r="G110" s="13"/>
    </row>
    <row r="111" spans="1:7" ht="18.75" thickBot="1" x14ac:dyDescent="0.3">
      <c r="A111" s="15" t="s">
        <v>27</v>
      </c>
      <c r="B111" s="17"/>
      <c r="C111" s="86" t="s">
        <v>28</v>
      </c>
      <c r="D111" s="18" t="s">
        <v>29</v>
      </c>
      <c r="E111" s="19" t="s">
        <v>30</v>
      </c>
      <c r="F111" s="20" t="s">
        <v>31</v>
      </c>
      <c r="G111" s="21" t="s">
        <v>32</v>
      </c>
    </row>
    <row r="112" spans="1:7" ht="64.5" x14ac:dyDescent="0.25">
      <c r="A112" s="15"/>
      <c r="B112" s="22" t="s">
        <v>33</v>
      </c>
      <c r="C112" s="23" t="s">
        <v>34</v>
      </c>
      <c r="D112" s="24">
        <v>3</v>
      </c>
      <c r="E112" s="23" t="s">
        <v>35</v>
      </c>
      <c r="F112" s="25" t="s">
        <v>36</v>
      </c>
      <c r="G112" s="98" t="s">
        <v>253</v>
      </c>
    </row>
    <row r="113" spans="1:7" ht="64.5" x14ac:dyDescent="0.25">
      <c r="A113" s="15"/>
      <c r="B113" s="22" t="s">
        <v>37</v>
      </c>
      <c r="C113" s="23" t="s">
        <v>38</v>
      </c>
      <c r="D113" s="24">
        <v>2</v>
      </c>
      <c r="E113" s="23" t="s">
        <v>39</v>
      </c>
      <c r="F113" s="25" t="s">
        <v>40</v>
      </c>
      <c r="G113" s="98" t="s">
        <v>254</v>
      </c>
    </row>
    <row r="114" spans="1:7" ht="64.5" x14ac:dyDescent="0.25">
      <c r="A114" s="15"/>
      <c r="B114" s="22" t="s">
        <v>41</v>
      </c>
      <c r="C114" s="23" t="s">
        <v>42</v>
      </c>
      <c r="D114" s="24">
        <v>4</v>
      </c>
      <c r="E114" s="23" t="s">
        <v>43</v>
      </c>
      <c r="F114" s="25" t="s">
        <v>44</v>
      </c>
      <c r="G114" s="98" t="s">
        <v>255</v>
      </c>
    </row>
    <row r="115" spans="1:7" ht="18" x14ac:dyDescent="0.25">
      <c r="A115" s="15"/>
      <c r="B115" s="22" t="s">
        <v>45</v>
      </c>
      <c r="C115" s="23" t="s">
        <v>46</v>
      </c>
      <c r="D115" s="24">
        <v>3</v>
      </c>
      <c r="E115" s="23" t="s">
        <v>47</v>
      </c>
      <c r="F115" s="25" t="s">
        <v>48</v>
      </c>
      <c r="G115" s="98" t="s">
        <v>207</v>
      </c>
    </row>
    <row r="116" spans="1:7" ht="52.5" thickBot="1" x14ac:dyDescent="0.3">
      <c r="A116" s="15"/>
      <c r="B116" s="27" t="s">
        <v>49</v>
      </c>
      <c r="C116" s="28" t="s">
        <v>86</v>
      </c>
      <c r="D116" s="29">
        <v>5</v>
      </c>
      <c r="E116" s="28" t="s">
        <v>51</v>
      </c>
      <c r="F116" s="30" t="s">
        <v>52</v>
      </c>
      <c r="G116" s="98" t="s">
        <v>256</v>
      </c>
    </row>
    <row r="117" spans="1:7" ht="18" x14ac:dyDescent="0.25">
      <c r="A117" s="15"/>
      <c r="B117" s="13"/>
      <c r="C117" s="26"/>
      <c r="D117" s="31">
        <f>AVERAGE(D112:D116)</f>
        <v>3.4</v>
      </c>
      <c r="E117" s="13"/>
      <c r="F117" s="13"/>
      <c r="G117" s="13"/>
    </row>
    <row r="118" spans="1:7" ht="18.75" thickBot="1" x14ac:dyDescent="0.3">
      <c r="A118" s="15"/>
      <c r="B118" s="13"/>
      <c r="C118" s="26"/>
      <c r="D118" s="13"/>
      <c r="E118" s="13"/>
      <c r="F118" s="13"/>
      <c r="G118" s="13"/>
    </row>
    <row r="119" spans="1:7" ht="36" x14ac:dyDescent="0.25">
      <c r="A119" s="15" t="s">
        <v>53</v>
      </c>
      <c r="B119" s="32"/>
      <c r="C119" s="19" t="s">
        <v>54</v>
      </c>
      <c r="D119" s="19" t="s">
        <v>29</v>
      </c>
      <c r="E119" s="19" t="s">
        <v>55</v>
      </c>
      <c r="F119" s="20" t="s">
        <v>31</v>
      </c>
      <c r="G119" s="13"/>
    </row>
    <row r="120" spans="1:7" ht="31.5" x14ac:dyDescent="0.25">
      <c r="A120" s="15"/>
      <c r="B120" s="33" t="s">
        <v>56</v>
      </c>
      <c r="C120" s="23" t="s">
        <v>57</v>
      </c>
      <c r="D120" s="24">
        <v>5</v>
      </c>
      <c r="E120" s="23" t="s">
        <v>58</v>
      </c>
      <c r="F120" s="25" t="s">
        <v>59</v>
      </c>
      <c r="G120" s="26"/>
    </row>
    <row r="121" spans="1:7" ht="45.75" x14ac:dyDescent="0.25">
      <c r="A121" s="15"/>
      <c r="B121" s="33" t="s">
        <v>61</v>
      </c>
      <c r="C121" s="23" t="s">
        <v>62</v>
      </c>
      <c r="D121" s="24">
        <v>4</v>
      </c>
      <c r="E121" s="23" t="s">
        <v>63</v>
      </c>
      <c r="F121" s="25" t="s">
        <v>64</v>
      </c>
      <c r="G121" s="26"/>
    </row>
    <row r="122" spans="1:7" ht="32.25" thickBot="1" x14ac:dyDescent="0.3">
      <c r="A122" s="15"/>
      <c r="B122" s="34" t="s">
        <v>66</v>
      </c>
      <c r="C122" s="28" t="s">
        <v>67</v>
      </c>
      <c r="D122" s="29">
        <v>2</v>
      </c>
      <c r="E122" s="28" t="s">
        <v>68</v>
      </c>
      <c r="F122" s="30" t="s">
        <v>69</v>
      </c>
      <c r="G122" s="98" t="s">
        <v>209</v>
      </c>
    </row>
    <row r="123" spans="1:7" ht="18" x14ac:dyDescent="0.25">
      <c r="A123" s="15"/>
      <c r="B123" s="13"/>
      <c r="C123" s="26"/>
      <c r="D123" s="13">
        <f>AVERAGE(D120:D122)</f>
        <v>3.6666666666666665</v>
      </c>
      <c r="E123" s="13"/>
      <c r="F123" s="13"/>
      <c r="G123" s="13"/>
    </row>
    <row r="124" spans="1:7" ht="18" x14ac:dyDescent="0.25">
      <c r="A124" s="15"/>
      <c r="B124" s="13"/>
      <c r="C124" s="26"/>
      <c r="D124" s="13"/>
      <c r="E124" s="13"/>
      <c r="F124" s="13"/>
      <c r="G124" s="13"/>
    </row>
    <row r="125" spans="1:7" ht="18" x14ac:dyDescent="0.25">
      <c r="A125" s="15" t="s">
        <v>71</v>
      </c>
      <c r="B125" s="13"/>
      <c r="C125" s="26"/>
      <c r="D125" s="13">
        <f>(D123+D117)/2</f>
        <v>3.5333333333333332</v>
      </c>
      <c r="E125" s="13"/>
      <c r="F125" s="13"/>
      <c r="G125" s="13"/>
    </row>
    <row r="126" spans="1:7" ht="18" x14ac:dyDescent="0.25">
      <c r="A126" s="15"/>
      <c r="B126" s="13"/>
      <c r="C126" s="26"/>
      <c r="D126" s="13"/>
      <c r="E126" s="13"/>
      <c r="F126" s="13"/>
      <c r="G126" s="13"/>
    </row>
    <row r="127" spans="1:7" ht="18" x14ac:dyDescent="0.25">
      <c r="A127" s="15" t="s">
        <v>72</v>
      </c>
      <c r="B127" s="116" t="s">
        <v>73</v>
      </c>
      <c r="C127" s="117"/>
      <c r="D127" s="13" t="s">
        <v>205</v>
      </c>
      <c r="E127" s="13"/>
      <c r="F127" s="13"/>
      <c r="G127" s="13"/>
    </row>
    <row r="131" spans="1:7" ht="12.75" x14ac:dyDescent="0.2">
      <c r="A131" s="36"/>
      <c r="B131" s="36"/>
      <c r="C131" s="87"/>
      <c r="D131" s="36"/>
      <c r="E131" s="36"/>
      <c r="F131" s="36"/>
      <c r="G131" s="36"/>
    </row>
    <row r="132" spans="1:7" ht="12.75" x14ac:dyDescent="0.2">
      <c r="A132" s="13"/>
      <c r="B132" s="13"/>
      <c r="C132" s="26"/>
      <c r="D132" s="13"/>
      <c r="E132" s="13"/>
      <c r="F132" s="13"/>
      <c r="G132" s="13"/>
    </row>
    <row r="133" spans="1:7" ht="18" x14ac:dyDescent="0.25">
      <c r="A133" s="99" t="s">
        <v>216</v>
      </c>
      <c r="B133" s="118" t="s">
        <v>22</v>
      </c>
      <c r="C133" s="117"/>
      <c r="D133" s="117"/>
      <c r="E133" s="13"/>
      <c r="F133" s="13"/>
      <c r="G133" s="13"/>
    </row>
    <row r="134" spans="1:7" ht="18" x14ac:dyDescent="0.25">
      <c r="A134" s="15" t="s">
        <v>25</v>
      </c>
      <c r="B134" s="119" t="s">
        <v>26</v>
      </c>
      <c r="C134" s="117"/>
      <c r="D134" s="117"/>
      <c r="E134" s="13"/>
      <c r="F134" s="13"/>
      <c r="G134" s="13"/>
    </row>
    <row r="135" spans="1:7" ht="18.75" thickBot="1" x14ac:dyDescent="0.3">
      <c r="A135" s="15"/>
      <c r="B135" s="13"/>
      <c r="C135" s="26"/>
      <c r="D135" s="13"/>
      <c r="E135" s="13"/>
      <c r="F135" s="13"/>
      <c r="G135" s="13"/>
    </row>
    <row r="136" spans="1:7" ht="18.75" thickBot="1" x14ac:dyDescent="0.3">
      <c r="A136" s="15" t="s">
        <v>27</v>
      </c>
      <c r="B136" s="17"/>
      <c r="C136" s="86" t="s">
        <v>28</v>
      </c>
      <c r="D136" s="18" t="s">
        <v>29</v>
      </c>
      <c r="E136" s="19" t="s">
        <v>30</v>
      </c>
      <c r="F136" s="20" t="s">
        <v>31</v>
      </c>
      <c r="G136" s="21" t="s">
        <v>32</v>
      </c>
    </row>
    <row r="137" spans="1:7" ht="30.75" x14ac:dyDescent="0.25">
      <c r="A137" s="15"/>
      <c r="B137" s="22" t="s">
        <v>33</v>
      </c>
      <c r="C137" s="23" t="s">
        <v>34</v>
      </c>
      <c r="D137" s="24">
        <v>4</v>
      </c>
      <c r="E137" s="23" t="s">
        <v>35</v>
      </c>
      <c r="F137" s="25" t="s">
        <v>36</v>
      </c>
      <c r="G137" s="98" t="s">
        <v>210</v>
      </c>
    </row>
    <row r="138" spans="1:7" ht="45.75" x14ac:dyDescent="0.25">
      <c r="A138" s="15"/>
      <c r="B138" s="22" t="s">
        <v>37</v>
      </c>
      <c r="C138" s="23" t="s">
        <v>38</v>
      </c>
      <c r="D138" s="24">
        <v>3</v>
      </c>
      <c r="E138" s="23" t="s">
        <v>39</v>
      </c>
      <c r="F138" s="25" t="s">
        <v>40</v>
      </c>
      <c r="G138" s="26"/>
    </row>
    <row r="139" spans="1:7" ht="45.75" x14ac:dyDescent="0.25">
      <c r="A139" s="15"/>
      <c r="B139" s="22" t="s">
        <v>41</v>
      </c>
      <c r="C139" s="23" t="s">
        <v>42</v>
      </c>
      <c r="D139" s="24">
        <v>3</v>
      </c>
      <c r="E139" s="23" t="s">
        <v>43</v>
      </c>
      <c r="F139" s="25" t="s">
        <v>44</v>
      </c>
      <c r="G139" s="26"/>
    </row>
    <row r="140" spans="1:7" ht="18" x14ac:dyDescent="0.25">
      <c r="A140" s="15"/>
      <c r="B140" s="22" t="s">
        <v>45</v>
      </c>
      <c r="C140" s="23" t="s">
        <v>46</v>
      </c>
      <c r="D140" s="24">
        <v>4</v>
      </c>
      <c r="E140" s="23" t="s">
        <v>47</v>
      </c>
      <c r="F140" s="25" t="s">
        <v>48</v>
      </c>
      <c r="G140" s="98" t="s">
        <v>257</v>
      </c>
    </row>
    <row r="141" spans="1:7" ht="46.5" thickBot="1" x14ac:dyDescent="0.3">
      <c r="A141" s="15"/>
      <c r="B141" s="27" t="s">
        <v>49</v>
      </c>
      <c r="C141" s="28" t="s">
        <v>86</v>
      </c>
      <c r="D141" s="29">
        <v>4</v>
      </c>
      <c r="E141" s="28" t="s">
        <v>51</v>
      </c>
      <c r="F141" s="30" t="s">
        <v>52</v>
      </c>
      <c r="G141" s="26"/>
    </row>
    <row r="142" spans="1:7" ht="18" x14ac:dyDescent="0.25">
      <c r="A142" s="15"/>
      <c r="B142" s="13"/>
      <c r="C142" s="26"/>
      <c r="D142" s="31">
        <f>AVERAGE(D137:D141)</f>
        <v>3.6</v>
      </c>
      <c r="E142" s="13"/>
      <c r="F142" s="13"/>
      <c r="G142" s="13"/>
    </row>
    <row r="143" spans="1:7" ht="18.75" thickBot="1" x14ac:dyDescent="0.3">
      <c r="A143" s="15"/>
      <c r="B143" s="13"/>
      <c r="C143" s="26"/>
      <c r="D143" s="13"/>
      <c r="E143" s="13"/>
      <c r="F143" s="13"/>
      <c r="G143" s="13"/>
    </row>
    <row r="144" spans="1:7" ht="36" x14ac:dyDescent="0.25">
      <c r="A144" s="15" t="s">
        <v>53</v>
      </c>
      <c r="B144" s="32"/>
      <c r="C144" s="19" t="s">
        <v>54</v>
      </c>
      <c r="D144" s="19" t="s">
        <v>29</v>
      </c>
      <c r="E144" s="19" t="s">
        <v>55</v>
      </c>
      <c r="F144" s="20" t="s">
        <v>31</v>
      </c>
      <c r="G144" s="13"/>
    </row>
    <row r="145" spans="1:7" ht="31.5" x14ac:dyDescent="0.25">
      <c r="A145" s="15"/>
      <c r="B145" s="33" t="s">
        <v>56</v>
      </c>
      <c r="C145" s="23" t="s">
        <v>57</v>
      </c>
      <c r="D145" s="24">
        <v>5</v>
      </c>
      <c r="E145" s="23" t="s">
        <v>58</v>
      </c>
      <c r="F145" s="25" t="s">
        <v>59</v>
      </c>
      <c r="G145" s="26"/>
    </row>
    <row r="146" spans="1:7" ht="45.75" x14ac:dyDescent="0.25">
      <c r="A146" s="15"/>
      <c r="B146" s="33" t="s">
        <v>61</v>
      </c>
      <c r="C146" s="23" t="s">
        <v>62</v>
      </c>
      <c r="D146" s="24">
        <v>4</v>
      </c>
      <c r="E146" s="23" t="s">
        <v>63</v>
      </c>
      <c r="F146" s="25" t="s">
        <v>64</v>
      </c>
      <c r="G146" s="26"/>
    </row>
    <row r="147" spans="1:7" ht="32.25" thickBot="1" x14ac:dyDescent="0.3">
      <c r="A147" s="15"/>
      <c r="B147" s="34" t="s">
        <v>66</v>
      </c>
      <c r="C147" s="28" t="s">
        <v>67</v>
      </c>
      <c r="D147" s="29">
        <v>2</v>
      </c>
      <c r="E147" s="28" t="s">
        <v>68</v>
      </c>
      <c r="F147" s="30" t="s">
        <v>69</v>
      </c>
      <c r="G147" s="98" t="s">
        <v>209</v>
      </c>
    </row>
    <row r="148" spans="1:7" ht="18" x14ac:dyDescent="0.25">
      <c r="A148" s="15"/>
      <c r="B148" s="13"/>
      <c r="C148" s="26"/>
      <c r="D148" s="13">
        <f>AVERAGE(D145:D147)</f>
        <v>3.6666666666666665</v>
      </c>
      <c r="E148" s="13"/>
      <c r="F148" s="13"/>
      <c r="G148" s="13"/>
    </row>
    <row r="149" spans="1:7" ht="18" x14ac:dyDescent="0.25">
      <c r="A149" s="15"/>
      <c r="B149" s="13"/>
      <c r="C149" s="26"/>
      <c r="D149" s="13"/>
      <c r="E149" s="13"/>
      <c r="F149" s="13"/>
      <c r="G149" s="13"/>
    </row>
    <row r="150" spans="1:7" ht="18" x14ac:dyDescent="0.25">
      <c r="A150" s="15" t="s">
        <v>71</v>
      </c>
      <c r="B150" s="13"/>
      <c r="C150" s="26"/>
      <c r="D150" s="13">
        <f>(D148+D142)/2</f>
        <v>3.6333333333333333</v>
      </c>
      <c r="E150" s="13"/>
      <c r="F150" s="13"/>
      <c r="G150" s="13"/>
    </row>
    <row r="151" spans="1:7" ht="18" x14ac:dyDescent="0.25">
      <c r="A151" s="15"/>
      <c r="B151" s="13"/>
      <c r="C151" s="26"/>
      <c r="D151" s="13"/>
      <c r="E151" s="13"/>
      <c r="F151" s="13"/>
      <c r="G151" s="13"/>
    </row>
    <row r="152" spans="1:7" ht="18" x14ac:dyDescent="0.25">
      <c r="A152" s="15" t="s">
        <v>72</v>
      </c>
      <c r="B152" s="116" t="s">
        <v>73</v>
      </c>
      <c r="C152" s="117"/>
      <c r="D152" s="13" t="s">
        <v>74</v>
      </c>
      <c r="E152" s="13"/>
      <c r="F152" s="13"/>
      <c r="G152" s="13"/>
    </row>
  </sheetData>
  <mergeCells count="18">
    <mergeCell ref="B60:D60"/>
    <mergeCell ref="B78:C78"/>
    <mergeCell ref="B5:D5"/>
    <mergeCell ref="B6:D6"/>
    <mergeCell ref="B24:C24"/>
    <mergeCell ref="B32:D32"/>
    <mergeCell ref="B33:D33"/>
    <mergeCell ref="B51:C51"/>
    <mergeCell ref="B59:D59"/>
    <mergeCell ref="B127:C127"/>
    <mergeCell ref="B133:D133"/>
    <mergeCell ref="B134:D134"/>
    <mergeCell ref="B152:C152"/>
    <mergeCell ref="B84:D84"/>
    <mergeCell ref="B85:D85"/>
    <mergeCell ref="B103:C103"/>
    <mergeCell ref="B108:D108"/>
    <mergeCell ref="B109:D109"/>
  </mergeCells>
  <dataValidations count="2">
    <dataValidation type="list" allowBlank="1" sqref="D9:D13 D17:D19 D36:D40 D44:D46 D63:D67 D145:D147 D88:D92 D96:D98 D112:D116 D120:D122 D137:D141 D71:D73" xr:uid="{00000000-0002-0000-0200-000000000000}">
      <formula1>"1,2,3,4,5"</formula1>
    </dataValidation>
    <dataValidation type="list" allowBlank="1" sqref="D24 D51 D78 D103 D127 D152" xr:uid="{00000000-0002-0000-0200-000001000000}">
      <formula1>"Yes,No"</formula1>
    </dataValidation>
  </dataValidations>
  <hyperlinks>
    <hyperlink ref="B6" r:id="rId1" xr:uid="{00000000-0004-0000-0200-000000000000}"/>
    <hyperlink ref="B33" r:id="rId2" xr:uid="{00000000-0004-0000-0200-000001000000}"/>
    <hyperlink ref="B60" r:id="rId3" xr:uid="{00000000-0004-0000-0200-000002000000}"/>
    <hyperlink ref="B85" r:id="rId4" xr:uid="{98FC1298-C847-4686-9219-F93B0E9A15E0}"/>
    <hyperlink ref="B109" r:id="rId5" xr:uid="{36677A87-3A68-4D9B-A416-85DEF8E183DC}"/>
    <hyperlink ref="B134" r:id="rId6" xr:uid="{1A9511D1-692D-4685-BB45-8CB1AC703E08}"/>
  </hyperlinks>
  <pageMargins left="0.7" right="0.7" top="0.75" bottom="0.75" header="0.3" footer="0.3"/>
  <pageSetup orientation="portrait" horizontalDpi="0" verticalDpi="0"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10"/>
  <sheetViews>
    <sheetView topLeftCell="A92" workbookViewId="0">
      <selection activeCell="G103" sqref="G103"/>
    </sheetView>
  </sheetViews>
  <sheetFormatPr defaultColWidth="12.5703125" defaultRowHeight="15.75" customHeight="1" x14ac:dyDescent="0.2"/>
  <cols>
    <col min="1" max="1" width="21.140625" customWidth="1"/>
    <col min="2" max="2" width="67.42578125" style="88" customWidth="1"/>
    <col min="3" max="3" width="15.5703125" bestFit="1" customWidth="1"/>
    <col min="4" max="4" width="15.28515625" bestFit="1" customWidth="1"/>
    <col min="5" max="5" width="16.5703125" bestFit="1" customWidth="1"/>
    <col min="6" max="6" width="73.28515625" customWidth="1"/>
  </cols>
  <sheetData>
    <row r="1" spans="1:6" ht="15.75" customHeight="1" x14ac:dyDescent="0.25">
      <c r="A1" s="26"/>
      <c r="B1" s="38" t="s">
        <v>112</v>
      </c>
      <c r="C1" s="13"/>
      <c r="D1" s="13"/>
      <c r="E1" s="13"/>
      <c r="F1" s="13"/>
    </row>
    <row r="2" spans="1:6" ht="12.75" x14ac:dyDescent="0.2">
      <c r="A2" s="26"/>
      <c r="B2" s="26"/>
      <c r="C2" s="13"/>
      <c r="D2" s="13"/>
      <c r="E2" s="13"/>
      <c r="F2" s="13"/>
    </row>
    <row r="3" spans="1:6" ht="15.75" customHeight="1" x14ac:dyDescent="0.25">
      <c r="A3" s="38" t="s">
        <v>113</v>
      </c>
      <c r="B3" s="38" t="str">
        <f>'2. Feasibility Check'!B5</f>
        <v>Delivery Date Prediction</v>
      </c>
      <c r="C3" s="13"/>
      <c r="D3" s="13"/>
      <c r="E3" s="13"/>
      <c r="F3" s="13"/>
    </row>
    <row r="4" spans="1:6" ht="12.75" x14ac:dyDescent="0.2">
      <c r="A4" s="26"/>
      <c r="B4" s="26"/>
      <c r="C4" s="13"/>
      <c r="D4" s="13"/>
      <c r="E4" s="13"/>
      <c r="F4" s="13"/>
    </row>
    <row r="5" spans="1:6" x14ac:dyDescent="0.25">
      <c r="A5" s="32"/>
      <c r="B5" s="19" t="s">
        <v>114</v>
      </c>
      <c r="C5" s="18" t="s">
        <v>115</v>
      </c>
      <c r="D5" s="39" t="s">
        <v>30</v>
      </c>
      <c r="E5" s="40" t="s">
        <v>116</v>
      </c>
      <c r="F5" s="21" t="s">
        <v>32</v>
      </c>
    </row>
    <row r="6" spans="1:6" ht="15.75" customHeight="1" x14ac:dyDescent="0.25">
      <c r="A6" s="41" t="s">
        <v>117</v>
      </c>
      <c r="B6" s="42" t="s">
        <v>118</v>
      </c>
      <c r="C6" s="43">
        <v>4</v>
      </c>
      <c r="D6" s="44" t="s">
        <v>119</v>
      </c>
      <c r="E6" s="45" t="s">
        <v>120</v>
      </c>
      <c r="F6" s="26" t="s">
        <v>121</v>
      </c>
    </row>
    <row r="7" spans="1:6" ht="64.5" x14ac:dyDescent="0.25">
      <c r="A7" s="46"/>
      <c r="B7" s="47" t="s">
        <v>122</v>
      </c>
      <c r="C7" s="48">
        <v>3</v>
      </c>
      <c r="D7" s="49" t="s">
        <v>119</v>
      </c>
      <c r="E7" s="50" t="s">
        <v>120</v>
      </c>
      <c r="F7" s="26" t="s">
        <v>123</v>
      </c>
    </row>
    <row r="8" spans="1:6" ht="30.75" x14ac:dyDescent="0.25">
      <c r="A8" s="51"/>
      <c r="B8" s="52" t="s">
        <v>124</v>
      </c>
      <c r="C8" s="53">
        <v>5</v>
      </c>
      <c r="D8" s="49" t="s">
        <v>119</v>
      </c>
      <c r="E8" s="50" t="s">
        <v>120</v>
      </c>
      <c r="F8" s="26" t="s">
        <v>125</v>
      </c>
    </row>
    <row r="9" spans="1:6" ht="51.75" x14ac:dyDescent="0.25">
      <c r="A9" s="54" t="s">
        <v>126</v>
      </c>
      <c r="B9" s="3" t="s">
        <v>127</v>
      </c>
      <c r="C9" s="55">
        <v>4</v>
      </c>
      <c r="D9" s="49" t="s">
        <v>119</v>
      </c>
      <c r="E9" s="50" t="s">
        <v>120</v>
      </c>
      <c r="F9" s="26" t="s">
        <v>128</v>
      </c>
    </row>
    <row r="10" spans="1:6" ht="64.5" x14ac:dyDescent="0.25">
      <c r="A10" s="41" t="s">
        <v>129</v>
      </c>
      <c r="B10" s="42" t="s">
        <v>130</v>
      </c>
      <c r="C10" s="43">
        <v>5</v>
      </c>
      <c r="D10" s="49" t="s">
        <v>119</v>
      </c>
      <c r="E10" s="50" t="s">
        <v>120</v>
      </c>
      <c r="F10" s="26" t="s">
        <v>131</v>
      </c>
    </row>
    <row r="11" spans="1:6" ht="45.75" x14ac:dyDescent="0.2">
      <c r="A11" s="56"/>
      <c r="B11" s="52" t="s">
        <v>132</v>
      </c>
      <c r="C11" s="53">
        <v>5</v>
      </c>
      <c r="D11" s="49" t="s">
        <v>119</v>
      </c>
      <c r="E11" s="50" t="s">
        <v>120</v>
      </c>
      <c r="F11" s="26" t="s">
        <v>133</v>
      </c>
    </row>
    <row r="12" spans="1:6" ht="15.75" customHeight="1" x14ac:dyDescent="0.25">
      <c r="A12" s="57" t="s">
        <v>134</v>
      </c>
      <c r="B12" s="58" t="s">
        <v>135</v>
      </c>
      <c r="C12" s="59">
        <v>4</v>
      </c>
      <c r="D12" s="60" t="s">
        <v>119</v>
      </c>
      <c r="E12" s="61" t="s">
        <v>120</v>
      </c>
      <c r="F12" s="26" t="s">
        <v>136</v>
      </c>
    </row>
    <row r="13" spans="1:6" ht="12.75" x14ac:dyDescent="0.2">
      <c r="A13" s="13"/>
      <c r="B13" s="26"/>
      <c r="C13" s="13"/>
      <c r="D13" s="13"/>
      <c r="E13" s="13"/>
      <c r="F13" s="13"/>
    </row>
    <row r="14" spans="1:6" ht="15" x14ac:dyDescent="0.2">
      <c r="A14" s="13"/>
      <c r="B14" s="14" t="s">
        <v>137</v>
      </c>
      <c r="C14" s="35">
        <f>IFERROR(AVERAGE(C6:C8)+C9+AVERAGE(C10:C11)+C12,0)</f>
        <v>17</v>
      </c>
      <c r="D14" s="35" t="s">
        <v>138</v>
      </c>
      <c r="E14" s="35" t="s">
        <v>139</v>
      </c>
      <c r="F14" s="13"/>
    </row>
    <row r="15" spans="1:6" ht="12.75" x14ac:dyDescent="0.2">
      <c r="A15" s="13"/>
      <c r="B15" s="26"/>
      <c r="C15" s="13"/>
      <c r="D15" s="13"/>
      <c r="E15" s="13"/>
      <c r="F15" s="13"/>
    </row>
    <row r="16" spans="1:6" ht="12.75" x14ac:dyDescent="0.2">
      <c r="A16" s="13"/>
      <c r="B16" s="26"/>
      <c r="C16" s="13"/>
      <c r="D16" s="13"/>
      <c r="E16" s="13"/>
      <c r="F16" s="13"/>
    </row>
    <row r="17" spans="1:26" ht="15.75" customHeight="1" x14ac:dyDescent="0.25">
      <c r="A17" s="16" t="s">
        <v>140</v>
      </c>
      <c r="B17" s="38" t="s">
        <v>141</v>
      </c>
      <c r="C17" s="16"/>
      <c r="D17" s="16"/>
      <c r="E17" s="13"/>
      <c r="F17" s="13"/>
    </row>
    <row r="18" spans="1:26" ht="12.75" x14ac:dyDescent="0.2">
      <c r="A18" s="13"/>
      <c r="B18" s="26"/>
      <c r="C18" s="13"/>
      <c r="D18" s="13"/>
      <c r="E18" s="13"/>
      <c r="F18" s="13"/>
    </row>
    <row r="19" spans="1:26" ht="12.75" x14ac:dyDescent="0.2">
      <c r="A19" s="37"/>
      <c r="B19" s="100"/>
      <c r="C19" s="37"/>
      <c r="D19" s="37"/>
      <c r="E19" s="37"/>
      <c r="F19" s="37"/>
      <c r="G19" s="37"/>
      <c r="H19" s="37"/>
      <c r="I19" s="37"/>
      <c r="J19" s="37"/>
      <c r="K19" s="37"/>
      <c r="L19" s="37"/>
      <c r="M19" s="37"/>
      <c r="N19" s="37"/>
      <c r="O19" s="37"/>
      <c r="P19" s="37"/>
      <c r="Q19" s="37"/>
      <c r="R19" s="37"/>
      <c r="S19" s="37"/>
      <c r="T19" s="37"/>
      <c r="U19" s="37"/>
      <c r="V19" s="37"/>
      <c r="W19" s="37"/>
      <c r="X19" s="37"/>
      <c r="Y19" s="37"/>
      <c r="Z19" s="37"/>
    </row>
    <row r="21" spans="1:26" ht="15.75" customHeight="1" x14ac:dyDescent="0.25">
      <c r="A21" s="99" t="s">
        <v>212</v>
      </c>
      <c r="B21" s="120" t="s">
        <v>14</v>
      </c>
      <c r="C21" s="117"/>
      <c r="D21" s="117"/>
      <c r="E21" s="13"/>
      <c r="F21" s="13"/>
    </row>
    <row r="22" spans="1:26" ht="12.75" x14ac:dyDescent="0.2">
      <c r="A22" s="26"/>
      <c r="B22" s="26"/>
      <c r="C22" s="13"/>
      <c r="D22" s="13"/>
      <c r="E22" s="13"/>
      <c r="F22" s="13"/>
    </row>
    <row r="23" spans="1:26" ht="15.75" customHeight="1" x14ac:dyDescent="0.25">
      <c r="A23" s="32"/>
      <c r="B23" s="19" t="s">
        <v>114</v>
      </c>
      <c r="C23" s="18" t="s">
        <v>115</v>
      </c>
      <c r="D23" s="39" t="s">
        <v>30</v>
      </c>
      <c r="E23" s="40" t="s">
        <v>116</v>
      </c>
      <c r="F23" s="21" t="s">
        <v>32</v>
      </c>
    </row>
    <row r="24" spans="1:26" ht="36" x14ac:dyDescent="0.25">
      <c r="A24" s="41" t="s">
        <v>117</v>
      </c>
      <c r="B24" s="42" t="s">
        <v>142</v>
      </c>
      <c r="C24" s="43">
        <v>4</v>
      </c>
      <c r="D24" s="43" t="s">
        <v>119</v>
      </c>
      <c r="E24" s="62" t="s">
        <v>120</v>
      </c>
      <c r="F24" s="26"/>
    </row>
    <row r="25" spans="1:26" ht="30.75" x14ac:dyDescent="0.25">
      <c r="A25" s="46"/>
      <c r="B25" s="47" t="s">
        <v>143</v>
      </c>
      <c r="C25" s="48">
        <v>5</v>
      </c>
      <c r="D25" s="48" t="s">
        <v>119</v>
      </c>
      <c r="E25" s="24" t="s">
        <v>120</v>
      </c>
      <c r="F25" s="26"/>
    </row>
    <row r="26" spans="1:26" ht="30.75" x14ac:dyDescent="0.25">
      <c r="A26" s="51"/>
      <c r="B26" s="52" t="s">
        <v>144</v>
      </c>
      <c r="C26" s="53">
        <v>4</v>
      </c>
      <c r="D26" s="48" t="s">
        <v>119</v>
      </c>
      <c r="E26" s="24" t="s">
        <v>120</v>
      </c>
      <c r="F26" s="26"/>
    </row>
    <row r="27" spans="1:26" ht="36" x14ac:dyDescent="0.25">
      <c r="A27" s="54" t="s">
        <v>126</v>
      </c>
      <c r="B27" s="3" t="s">
        <v>127</v>
      </c>
      <c r="C27" s="55">
        <v>4</v>
      </c>
      <c r="D27" s="48" t="s">
        <v>119</v>
      </c>
      <c r="E27" s="24" t="s">
        <v>120</v>
      </c>
      <c r="F27" s="26"/>
    </row>
    <row r="28" spans="1:26" ht="47.25" x14ac:dyDescent="0.25">
      <c r="A28" s="41" t="s">
        <v>129</v>
      </c>
      <c r="B28" s="42" t="s">
        <v>145</v>
      </c>
      <c r="C28" s="43">
        <v>3</v>
      </c>
      <c r="D28" s="48" t="s">
        <v>119</v>
      </c>
      <c r="E28" s="24" t="s">
        <v>120</v>
      </c>
      <c r="F28" s="98" t="s">
        <v>260</v>
      </c>
    </row>
    <row r="29" spans="1:26" ht="45.75" x14ac:dyDescent="0.2">
      <c r="A29" s="56"/>
      <c r="B29" s="52" t="s">
        <v>146</v>
      </c>
      <c r="C29" s="53">
        <v>3</v>
      </c>
      <c r="D29" s="48" t="s">
        <v>119</v>
      </c>
      <c r="E29" s="24" t="s">
        <v>120</v>
      </c>
      <c r="F29" s="98" t="s">
        <v>259</v>
      </c>
    </row>
    <row r="30" spans="1:26" ht="39" x14ac:dyDescent="0.25">
      <c r="A30" s="57" t="s">
        <v>134</v>
      </c>
      <c r="B30" s="58" t="s">
        <v>147</v>
      </c>
      <c r="C30" s="59">
        <v>3</v>
      </c>
      <c r="D30" s="53" t="s">
        <v>119</v>
      </c>
      <c r="E30" s="63" t="s">
        <v>120</v>
      </c>
      <c r="F30" s="98" t="s">
        <v>258</v>
      </c>
    </row>
    <row r="31" spans="1:26" ht="12.75" x14ac:dyDescent="0.2">
      <c r="A31" s="13"/>
      <c r="B31" s="26"/>
      <c r="C31" s="13"/>
      <c r="D31" s="13"/>
      <c r="E31" s="13"/>
      <c r="F31" s="13"/>
    </row>
    <row r="32" spans="1:26" ht="15" x14ac:dyDescent="0.2">
      <c r="A32" s="13"/>
      <c r="B32" s="14" t="s">
        <v>137</v>
      </c>
      <c r="C32" s="35">
        <f>IFERROR(AVERAGE(C24:C26)+C27+AVERAGE(C28:C29)+C30,0)</f>
        <v>14.333333333333332</v>
      </c>
      <c r="D32" s="35" t="s">
        <v>138</v>
      </c>
      <c r="E32" s="35" t="s">
        <v>139</v>
      </c>
      <c r="F32" s="13"/>
    </row>
    <row r="33" spans="1:26" ht="12.75" x14ac:dyDescent="0.2">
      <c r="A33" s="13"/>
      <c r="B33" s="26"/>
      <c r="C33" s="13"/>
      <c r="D33" s="13"/>
      <c r="E33" s="13"/>
      <c r="F33" s="13"/>
    </row>
    <row r="34" spans="1:26" ht="12.75" x14ac:dyDescent="0.2">
      <c r="A34" s="13"/>
      <c r="B34" s="26"/>
      <c r="C34" s="13"/>
      <c r="D34" s="13"/>
      <c r="E34" s="13"/>
      <c r="F34" s="13"/>
    </row>
    <row r="35" spans="1:26" ht="15.75" customHeight="1" x14ac:dyDescent="0.25">
      <c r="A35" s="16" t="s">
        <v>140</v>
      </c>
      <c r="B35" s="38" t="s">
        <v>148</v>
      </c>
      <c r="C35" s="16"/>
      <c r="D35" s="16"/>
      <c r="E35" s="13"/>
      <c r="F35" s="13"/>
    </row>
    <row r="38" spans="1:26" ht="12.75" x14ac:dyDescent="0.2">
      <c r="A38" s="37"/>
      <c r="B38" s="100"/>
      <c r="C38" s="37"/>
      <c r="D38" s="37"/>
      <c r="E38" s="37"/>
      <c r="F38" s="37"/>
      <c r="G38" s="37"/>
      <c r="H38" s="37"/>
      <c r="I38" s="37"/>
      <c r="J38" s="37"/>
      <c r="K38" s="37"/>
      <c r="L38" s="37"/>
      <c r="M38" s="37"/>
      <c r="N38" s="37"/>
      <c r="O38" s="37"/>
      <c r="P38" s="37"/>
      <c r="Q38" s="37"/>
      <c r="R38" s="37"/>
      <c r="S38" s="37"/>
      <c r="T38" s="37"/>
      <c r="U38" s="37"/>
      <c r="V38" s="37"/>
      <c r="W38" s="37"/>
      <c r="X38" s="37"/>
      <c r="Y38" s="37"/>
      <c r="Z38" s="37"/>
    </row>
    <row r="40" spans="1:26" ht="18" x14ac:dyDescent="0.25">
      <c r="A40" s="99" t="s">
        <v>213</v>
      </c>
      <c r="B40" s="118" t="s">
        <v>16</v>
      </c>
      <c r="C40" s="117"/>
      <c r="D40" s="117"/>
      <c r="E40" s="13"/>
      <c r="F40" s="13"/>
      <c r="G40" s="13"/>
    </row>
    <row r="41" spans="1:26" ht="13.5" thickBot="1" x14ac:dyDescent="0.25">
      <c r="A41" s="26"/>
      <c r="B41" s="26"/>
      <c r="C41" s="13"/>
      <c r="D41" s="13"/>
      <c r="E41" s="13"/>
      <c r="F41" s="13"/>
    </row>
    <row r="42" spans="1:26" ht="15.75" customHeight="1" x14ac:dyDescent="0.25">
      <c r="A42" s="32"/>
      <c r="B42" s="19" t="s">
        <v>114</v>
      </c>
      <c r="C42" s="18" t="s">
        <v>115</v>
      </c>
      <c r="D42" s="39" t="s">
        <v>30</v>
      </c>
      <c r="E42" s="40" t="s">
        <v>116</v>
      </c>
      <c r="F42" s="21" t="s">
        <v>32</v>
      </c>
    </row>
    <row r="43" spans="1:26" ht="36" x14ac:dyDescent="0.25">
      <c r="A43" s="41" t="s">
        <v>117</v>
      </c>
      <c r="B43" s="42" t="s">
        <v>142</v>
      </c>
      <c r="C43" s="43">
        <v>4</v>
      </c>
      <c r="D43" s="43" t="s">
        <v>119</v>
      </c>
      <c r="E43" s="62" t="s">
        <v>120</v>
      </c>
      <c r="F43" s="26"/>
    </row>
    <row r="44" spans="1:26" ht="30.75" x14ac:dyDescent="0.25">
      <c r="A44" s="46"/>
      <c r="B44" s="47" t="s">
        <v>122</v>
      </c>
      <c r="C44" s="48">
        <v>4</v>
      </c>
      <c r="D44" s="48" t="s">
        <v>119</v>
      </c>
      <c r="E44" s="24" t="s">
        <v>120</v>
      </c>
      <c r="F44" s="26"/>
    </row>
    <row r="45" spans="1:26" ht="30.75" x14ac:dyDescent="0.25">
      <c r="A45" s="51"/>
      <c r="B45" s="52" t="s">
        <v>124</v>
      </c>
      <c r="C45" s="53">
        <v>4</v>
      </c>
      <c r="D45" s="48" t="s">
        <v>119</v>
      </c>
      <c r="E45" s="24" t="s">
        <v>120</v>
      </c>
      <c r="F45" s="26"/>
    </row>
    <row r="46" spans="1:26" ht="36" x14ac:dyDescent="0.25">
      <c r="A46" s="54" t="s">
        <v>126</v>
      </c>
      <c r="B46" s="3" t="s">
        <v>127</v>
      </c>
      <c r="C46" s="55">
        <v>4</v>
      </c>
      <c r="D46" s="48" t="s">
        <v>119</v>
      </c>
      <c r="E46" s="24" t="s">
        <v>120</v>
      </c>
      <c r="F46" s="26"/>
    </row>
    <row r="47" spans="1:26" ht="47.25" x14ac:dyDescent="0.25">
      <c r="A47" s="41" t="s">
        <v>129</v>
      </c>
      <c r="B47" s="42" t="s">
        <v>145</v>
      </c>
      <c r="C47" s="43">
        <v>5</v>
      </c>
      <c r="D47" s="48" t="s">
        <v>119</v>
      </c>
      <c r="E47" s="24" t="s">
        <v>120</v>
      </c>
      <c r="F47" s="26"/>
    </row>
    <row r="48" spans="1:26" ht="45.75" x14ac:dyDescent="0.2">
      <c r="A48" s="56"/>
      <c r="B48" s="52" t="s">
        <v>132</v>
      </c>
      <c r="C48" s="53">
        <v>5</v>
      </c>
      <c r="D48" s="48" t="s">
        <v>119</v>
      </c>
      <c r="E48" s="24" t="s">
        <v>120</v>
      </c>
      <c r="F48" s="26"/>
    </row>
    <row r="49" spans="1:26" ht="36.75" thickBot="1" x14ac:dyDescent="0.3">
      <c r="A49" s="57" t="s">
        <v>134</v>
      </c>
      <c r="B49" s="58" t="s">
        <v>135</v>
      </c>
      <c r="C49" s="59">
        <v>5</v>
      </c>
      <c r="D49" s="53" t="s">
        <v>119</v>
      </c>
      <c r="E49" s="63" t="s">
        <v>120</v>
      </c>
      <c r="F49" s="98" t="s">
        <v>261</v>
      </c>
    </row>
    <row r="50" spans="1:26" ht="12.75" x14ac:dyDescent="0.2">
      <c r="A50" s="13"/>
      <c r="B50" s="26"/>
      <c r="C50" s="13"/>
      <c r="D50" s="13"/>
      <c r="E50" s="13"/>
      <c r="F50" s="13"/>
    </row>
    <row r="51" spans="1:26" ht="15" x14ac:dyDescent="0.2">
      <c r="A51" s="13"/>
      <c r="B51" s="14" t="s">
        <v>137</v>
      </c>
      <c r="C51" s="35">
        <f>IFERROR(AVERAGE(C43:C45)+C46+AVERAGE(C47:C48)+C49,0)</f>
        <v>18</v>
      </c>
      <c r="D51" s="35" t="s">
        <v>138</v>
      </c>
      <c r="E51" s="35" t="s">
        <v>139</v>
      </c>
      <c r="F51" s="13"/>
    </row>
    <row r="52" spans="1:26" ht="12.75" x14ac:dyDescent="0.2">
      <c r="A52" s="13"/>
      <c r="B52" s="26"/>
      <c r="C52" s="13"/>
      <c r="D52" s="13"/>
      <c r="E52" s="13"/>
      <c r="F52" s="13"/>
    </row>
    <row r="53" spans="1:26" ht="12.75" x14ac:dyDescent="0.2">
      <c r="A53" s="13"/>
      <c r="B53" s="26"/>
      <c r="C53" s="13"/>
      <c r="D53" s="13"/>
      <c r="E53" s="13"/>
      <c r="F53" s="13"/>
    </row>
    <row r="54" spans="1:26" ht="15.75" customHeight="1" x14ac:dyDescent="0.25">
      <c r="A54" s="16" t="s">
        <v>140</v>
      </c>
      <c r="B54" s="38" t="s">
        <v>141</v>
      </c>
      <c r="C54" s="16"/>
      <c r="D54" s="16"/>
      <c r="E54" s="13"/>
      <c r="F54" s="13"/>
    </row>
    <row r="57" spans="1:26" ht="12.75" x14ac:dyDescent="0.2">
      <c r="A57" s="37"/>
      <c r="B57" s="100"/>
      <c r="C57" s="37"/>
      <c r="D57" s="37"/>
      <c r="E57" s="37"/>
      <c r="F57" s="37"/>
      <c r="G57" s="37"/>
      <c r="H57" s="37"/>
      <c r="I57" s="37"/>
      <c r="J57" s="37"/>
      <c r="K57" s="37"/>
      <c r="L57" s="37"/>
      <c r="M57" s="37"/>
      <c r="N57" s="37"/>
      <c r="O57" s="37"/>
      <c r="P57" s="37"/>
      <c r="Q57" s="37"/>
      <c r="R57" s="37"/>
      <c r="S57" s="37"/>
      <c r="T57" s="37"/>
      <c r="U57" s="37"/>
      <c r="V57" s="37"/>
      <c r="W57" s="37"/>
      <c r="X57" s="37"/>
      <c r="Y57" s="37"/>
      <c r="Z57" s="37"/>
    </row>
    <row r="59" spans="1:26" ht="15.75" customHeight="1" x14ac:dyDescent="0.25">
      <c r="A59" s="99" t="s">
        <v>214</v>
      </c>
      <c r="B59" s="118" t="s">
        <v>206</v>
      </c>
      <c r="C59" s="117"/>
      <c r="D59" s="117"/>
      <c r="E59" s="13"/>
      <c r="F59" s="13"/>
    </row>
    <row r="60" spans="1:26" ht="13.5" thickBot="1" x14ac:dyDescent="0.25">
      <c r="A60" s="26"/>
      <c r="B60" s="26"/>
      <c r="C60" s="13"/>
      <c r="D60" s="13"/>
      <c r="E60" s="13"/>
      <c r="F60" s="13"/>
    </row>
    <row r="61" spans="1:26" ht="15.75" customHeight="1" x14ac:dyDescent="0.25">
      <c r="A61" s="32"/>
      <c r="B61" s="19" t="s">
        <v>114</v>
      </c>
      <c r="C61" s="18" t="s">
        <v>115</v>
      </c>
      <c r="D61" s="39" t="s">
        <v>30</v>
      </c>
      <c r="E61" s="40" t="s">
        <v>116</v>
      </c>
      <c r="F61" s="21" t="s">
        <v>32</v>
      </c>
    </row>
    <row r="62" spans="1:26" ht="36" x14ac:dyDescent="0.25">
      <c r="A62" s="41" t="s">
        <v>117</v>
      </c>
      <c r="B62" s="42" t="s">
        <v>142</v>
      </c>
      <c r="C62" s="43">
        <v>5</v>
      </c>
      <c r="D62" s="43" t="s">
        <v>119</v>
      </c>
      <c r="E62" s="62" t="s">
        <v>120</v>
      </c>
      <c r="F62" s="26"/>
    </row>
    <row r="63" spans="1:26" ht="30.75" x14ac:dyDescent="0.25">
      <c r="A63" s="46"/>
      <c r="B63" s="47" t="s">
        <v>122</v>
      </c>
      <c r="C63" s="48">
        <v>5</v>
      </c>
      <c r="D63" s="48" t="s">
        <v>119</v>
      </c>
      <c r="E63" s="24" t="s">
        <v>120</v>
      </c>
      <c r="F63" s="26"/>
    </row>
    <row r="64" spans="1:26" ht="30.75" x14ac:dyDescent="0.25">
      <c r="A64" s="51"/>
      <c r="B64" s="52" t="s">
        <v>124</v>
      </c>
      <c r="C64" s="53">
        <v>4</v>
      </c>
      <c r="D64" s="48" t="s">
        <v>119</v>
      </c>
      <c r="E64" s="24" t="s">
        <v>120</v>
      </c>
      <c r="F64" s="98" t="s">
        <v>264</v>
      </c>
    </row>
    <row r="65" spans="1:26" ht="36" x14ac:dyDescent="0.25">
      <c r="A65" s="54" t="s">
        <v>126</v>
      </c>
      <c r="B65" s="3" t="s">
        <v>127</v>
      </c>
      <c r="C65" s="55">
        <v>4</v>
      </c>
      <c r="D65" s="48" t="s">
        <v>119</v>
      </c>
      <c r="E65" s="24" t="s">
        <v>120</v>
      </c>
      <c r="F65" s="98" t="s">
        <v>262</v>
      </c>
    </row>
    <row r="66" spans="1:26" ht="47.25" x14ac:dyDescent="0.25">
      <c r="A66" s="41" t="s">
        <v>129</v>
      </c>
      <c r="B66" s="42" t="s">
        <v>145</v>
      </c>
      <c r="C66" s="43">
        <v>5</v>
      </c>
      <c r="D66" s="48" t="s">
        <v>119</v>
      </c>
      <c r="E66" s="24" t="s">
        <v>120</v>
      </c>
      <c r="F66" s="26"/>
    </row>
    <row r="67" spans="1:26" ht="45.75" x14ac:dyDescent="0.2">
      <c r="A67" s="56"/>
      <c r="B67" s="52" t="s">
        <v>132</v>
      </c>
      <c r="C67" s="53">
        <v>5</v>
      </c>
      <c r="D67" s="48" t="s">
        <v>119</v>
      </c>
      <c r="E67" s="24" t="s">
        <v>120</v>
      </c>
      <c r="F67" s="26"/>
    </row>
    <row r="68" spans="1:26" ht="39.75" thickBot="1" x14ac:dyDescent="0.3">
      <c r="A68" s="57" t="s">
        <v>134</v>
      </c>
      <c r="B68" s="58" t="s">
        <v>135</v>
      </c>
      <c r="C68" s="59">
        <v>4</v>
      </c>
      <c r="D68" s="53" t="s">
        <v>119</v>
      </c>
      <c r="E68" s="63" t="s">
        <v>120</v>
      </c>
      <c r="F68" s="98" t="s">
        <v>263</v>
      </c>
    </row>
    <row r="69" spans="1:26" ht="12.75" x14ac:dyDescent="0.2">
      <c r="A69" s="13"/>
      <c r="B69" s="26"/>
      <c r="C69" s="13"/>
      <c r="D69" s="13"/>
      <c r="E69" s="13"/>
      <c r="F69" s="13"/>
    </row>
    <row r="70" spans="1:26" ht="15" x14ac:dyDescent="0.2">
      <c r="A70" s="13"/>
      <c r="B70" s="14" t="s">
        <v>137</v>
      </c>
      <c r="C70" s="35">
        <f>IFERROR(AVERAGE(C62:C64)+C65+AVERAGE(C66:C67)+C68,0)</f>
        <v>17.666666666666668</v>
      </c>
      <c r="D70" s="35" t="s">
        <v>138</v>
      </c>
      <c r="E70" s="35" t="s">
        <v>139</v>
      </c>
      <c r="F70" s="13"/>
    </row>
    <row r="71" spans="1:26" ht="12.75" x14ac:dyDescent="0.2">
      <c r="A71" s="13"/>
      <c r="B71" s="26"/>
      <c r="C71" s="13"/>
      <c r="D71" s="13"/>
      <c r="E71" s="13"/>
      <c r="F71" s="13"/>
    </row>
    <row r="72" spans="1:26" ht="12.75" x14ac:dyDescent="0.2">
      <c r="A72" s="13"/>
      <c r="B72" s="26"/>
      <c r="C72" s="13"/>
      <c r="D72" s="13"/>
      <c r="E72" s="13"/>
      <c r="F72" s="13"/>
    </row>
    <row r="73" spans="1:26" ht="15.75" customHeight="1" x14ac:dyDescent="0.25">
      <c r="A73" s="16" t="s">
        <v>140</v>
      </c>
      <c r="B73" s="38" t="s">
        <v>141</v>
      </c>
      <c r="C73" s="16"/>
      <c r="D73" s="16"/>
      <c r="E73" s="13"/>
      <c r="F73" s="13"/>
    </row>
    <row r="75" spans="1:26" ht="12.75" x14ac:dyDescent="0.2">
      <c r="A75" s="37"/>
      <c r="B75" s="100"/>
      <c r="C75" s="37"/>
      <c r="D75" s="37"/>
      <c r="E75" s="37"/>
      <c r="F75" s="37"/>
      <c r="G75" s="37"/>
      <c r="H75" s="37"/>
      <c r="I75" s="37"/>
      <c r="J75" s="37"/>
      <c r="K75" s="37"/>
      <c r="L75" s="37"/>
      <c r="M75" s="37"/>
      <c r="N75" s="37"/>
      <c r="O75" s="37"/>
      <c r="P75" s="37"/>
      <c r="Q75" s="37"/>
      <c r="R75" s="37"/>
      <c r="S75" s="37"/>
      <c r="T75" s="37"/>
      <c r="U75" s="37"/>
      <c r="V75" s="37"/>
      <c r="W75" s="37"/>
      <c r="X75" s="37"/>
      <c r="Y75" s="37"/>
      <c r="Z75" s="37"/>
    </row>
    <row r="77" spans="1:26" ht="15.75" customHeight="1" x14ac:dyDescent="0.25">
      <c r="A77" s="99" t="s">
        <v>215</v>
      </c>
      <c r="B77" s="118" t="s">
        <v>20</v>
      </c>
      <c r="C77" s="117"/>
      <c r="D77" s="117"/>
      <c r="E77" s="13"/>
      <c r="F77" s="13"/>
    </row>
    <row r="78" spans="1:26" ht="13.5" thickBot="1" x14ac:dyDescent="0.25">
      <c r="A78" s="26"/>
      <c r="B78" s="26"/>
      <c r="C78" s="13"/>
      <c r="D78" s="13"/>
      <c r="E78" s="13"/>
      <c r="F78" s="13"/>
    </row>
    <row r="79" spans="1:26" ht="15.75" customHeight="1" x14ac:dyDescent="0.25">
      <c r="A79" s="32"/>
      <c r="B79" s="19" t="s">
        <v>114</v>
      </c>
      <c r="C79" s="18" t="s">
        <v>115</v>
      </c>
      <c r="D79" s="39" t="s">
        <v>30</v>
      </c>
      <c r="E79" s="40" t="s">
        <v>116</v>
      </c>
      <c r="F79" s="21" t="s">
        <v>32</v>
      </c>
    </row>
    <row r="80" spans="1:26" ht="36" x14ac:dyDescent="0.25">
      <c r="A80" s="41" t="s">
        <v>117</v>
      </c>
      <c r="B80" s="42" t="s">
        <v>142</v>
      </c>
      <c r="C80" s="43">
        <v>4</v>
      </c>
      <c r="D80" s="43" t="s">
        <v>119</v>
      </c>
      <c r="E80" s="62" t="s">
        <v>120</v>
      </c>
      <c r="F80" s="26"/>
    </row>
    <row r="81" spans="1:26" ht="30.75" x14ac:dyDescent="0.25">
      <c r="A81" s="46"/>
      <c r="B81" s="47" t="s">
        <v>122</v>
      </c>
      <c r="C81" s="48">
        <v>3</v>
      </c>
      <c r="D81" s="48" t="s">
        <v>119</v>
      </c>
      <c r="E81" s="24" t="s">
        <v>120</v>
      </c>
      <c r="F81" s="26"/>
    </row>
    <row r="82" spans="1:26" ht="39" x14ac:dyDescent="0.25">
      <c r="A82" s="51"/>
      <c r="B82" s="52" t="s">
        <v>124</v>
      </c>
      <c r="C82" s="53">
        <v>5</v>
      </c>
      <c r="D82" s="48" t="s">
        <v>119</v>
      </c>
      <c r="E82" s="24" t="s">
        <v>120</v>
      </c>
      <c r="F82" s="98" t="s">
        <v>266</v>
      </c>
    </row>
    <row r="83" spans="1:26" ht="36" x14ac:dyDescent="0.25">
      <c r="A83" s="54" t="s">
        <v>126</v>
      </c>
      <c r="B83" s="3" t="s">
        <v>127</v>
      </c>
      <c r="C83" s="55">
        <v>3</v>
      </c>
      <c r="D83" s="48" t="s">
        <v>119</v>
      </c>
      <c r="E83" s="24" t="s">
        <v>120</v>
      </c>
      <c r="F83" s="26"/>
    </row>
    <row r="84" spans="1:26" ht="47.25" x14ac:dyDescent="0.25">
      <c r="A84" s="41" t="s">
        <v>129</v>
      </c>
      <c r="B84" s="42" t="s">
        <v>145</v>
      </c>
      <c r="C84" s="43">
        <v>4</v>
      </c>
      <c r="D84" s="48" t="s">
        <v>119</v>
      </c>
      <c r="E84" s="24" t="s">
        <v>120</v>
      </c>
      <c r="F84" s="26"/>
    </row>
    <row r="85" spans="1:26" ht="45.75" x14ac:dyDescent="0.2">
      <c r="A85" s="56"/>
      <c r="B85" s="52" t="s">
        <v>132</v>
      </c>
      <c r="C85" s="53">
        <v>3</v>
      </c>
      <c r="D85" s="48" t="s">
        <v>119</v>
      </c>
      <c r="E85" s="24" t="s">
        <v>120</v>
      </c>
      <c r="F85" s="26"/>
    </row>
    <row r="86" spans="1:26" ht="36.75" thickBot="1" x14ac:dyDescent="0.3">
      <c r="A86" s="57" t="s">
        <v>134</v>
      </c>
      <c r="B86" s="58" t="s">
        <v>135</v>
      </c>
      <c r="C86" s="59">
        <v>4</v>
      </c>
      <c r="D86" s="53" t="s">
        <v>119</v>
      </c>
      <c r="E86" s="63" t="s">
        <v>120</v>
      </c>
      <c r="F86" s="98" t="s">
        <v>265</v>
      </c>
    </row>
    <row r="87" spans="1:26" ht="12.75" x14ac:dyDescent="0.2">
      <c r="A87" s="13"/>
      <c r="B87" s="26"/>
      <c r="C87" s="13"/>
      <c r="D87" s="13"/>
      <c r="E87" s="13"/>
      <c r="F87" s="13"/>
    </row>
    <row r="88" spans="1:26" ht="15" x14ac:dyDescent="0.2">
      <c r="A88" s="13"/>
      <c r="B88" s="14" t="s">
        <v>137</v>
      </c>
      <c r="C88" s="35">
        <f>IFERROR(AVERAGE(C80:C82)+C83+AVERAGE(C84:C85)+C86,0)</f>
        <v>14.5</v>
      </c>
      <c r="D88" s="35" t="s">
        <v>138</v>
      </c>
      <c r="E88" s="35" t="s">
        <v>139</v>
      </c>
      <c r="F88" s="13"/>
    </row>
    <row r="89" spans="1:26" ht="12.75" x14ac:dyDescent="0.2">
      <c r="A89" s="13"/>
      <c r="B89" s="26"/>
      <c r="C89" s="13"/>
      <c r="D89" s="13"/>
      <c r="E89" s="13"/>
      <c r="F89" s="13"/>
    </row>
    <row r="90" spans="1:26" ht="12.75" x14ac:dyDescent="0.2">
      <c r="A90" s="13"/>
      <c r="B90" s="26"/>
      <c r="C90" s="13"/>
      <c r="D90" s="13"/>
      <c r="E90" s="13"/>
      <c r="F90" s="13"/>
    </row>
    <row r="91" spans="1:26" ht="15.75" customHeight="1" x14ac:dyDescent="0.25">
      <c r="A91" s="16" t="s">
        <v>140</v>
      </c>
      <c r="B91" s="38" t="s">
        <v>141</v>
      </c>
      <c r="C91" s="16"/>
      <c r="D91" s="16"/>
      <c r="E91" s="13"/>
      <c r="F91" s="13"/>
    </row>
    <row r="94" spans="1:26" ht="12.75" x14ac:dyDescent="0.2">
      <c r="A94" s="37"/>
      <c r="B94" s="100"/>
      <c r="C94" s="37"/>
      <c r="D94" s="37"/>
      <c r="E94" s="37"/>
      <c r="F94" s="37"/>
      <c r="G94" s="37"/>
      <c r="H94" s="37"/>
      <c r="I94" s="37"/>
      <c r="J94" s="37"/>
      <c r="K94" s="37"/>
      <c r="L94" s="37"/>
      <c r="M94" s="37"/>
      <c r="N94" s="37"/>
      <c r="O94" s="37"/>
      <c r="P94" s="37"/>
      <c r="Q94" s="37"/>
      <c r="R94" s="37"/>
      <c r="S94" s="37"/>
      <c r="T94" s="37"/>
      <c r="U94" s="37"/>
      <c r="V94" s="37"/>
      <c r="W94" s="37"/>
      <c r="X94" s="37"/>
      <c r="Y94" s="37"/>
      <c r="Z94" s="37"/>
    </row>
    <row r="96" spans="1:26" ht="15.75" customHeight="1" x14ac:dyDescent="0.25">
      <c r="A96" s="99" t="s">
        <v>216</v>
      </c>
      <c r="B96" s="118" t="s">
        <v>22</v>
      </c>
      <c r="C96" s="117"/>
      <c r="D96" s="117"/>
      <c r="E96" s="13"/>
      <c r="F96" s="13"/>
    </row>
    <row r="97" spans="1:6" ht="13.5" thickBot="1" x14ac:dyDescent="0.25">
      <c r="A97" s="26"/>
      <c r="B97" s="26"/>
      <c r="C97" s="13"/>
      <c r="D97" s="13"/>
      <c r="E97" s="13"/>
      <c r="F97" s="13"/>
    </row>
    <row r="98" spans="1:6" ht="15.75" customHeight="1" x14ac:dyDescent="0.25">
      <c r="A98" s="32"/>
      <c r="B98" s="19" t="s">
        <v>114</v>
      </c>
      <c r="C98" s="18" t="s">
        <v>115</v>
      </c>
      <c r="D98" s="39" t="s">
        <v>30</v>
      </c>
      <c r="E98" s="40" t="s">
        <v>116</v>
      </c>
      <c r="F98" s="21" t="s">
        <v>32</v>
      </c>
    </row>
    <row r="99" spans="1:6" ht="36" x14ac:dyDescent="0.25">
      <c r="A99" s="41" t="s">
        <v>117</v>
      </c>
      <c r="B99" s="42" t="s">
        <v>142</v>
      </c>
      <c r="C99" s="43">
        <v>4</v>
      </c>
      <c r="D99" s="43" t="s">
        <v>119</v>
      </c>
      <c r="E99" s="62" t="s">
        <v>120</v>
      </c>
      <c r="F99" s="26"/>
    </row>
    <row r="100" spans="1:6" ht="30.75" x14ac:dyDescent="0.25">
      <c r="A100" s="46"/>
      <c r="B100" s="47" t="s">
        <v>122</v>
      </c>
      <c r="C100" s="48">
        <v>4</v>
      </c>
      <c r="D100" s="48" t="s">
        <v>119</v>
      </c>
      <c r="E100" s="24" t="s">
        <v>120</v>
      </c>
      <c r="F100" s="26"/>
    </row>
    <row r="101" spans="1:6" ht="30.75" x14ac:dyDescent="0.25">
      <c r="A101" s="51"/>
      <c r="B101" s="52" t="s">
        <v>124</v>
      </c>
      <c r="C101" s="53">
        <v>4</v>
      </c>
      <c r="D101" s="48" t="s">
        <v>119</v>
      </c>
      <c r="E101" s="24" t="s">
        <v>120</v>
      </c>
      <c r="F101" s="26"/>
    </row>
    <row r="102" spans="1:6" ht="36" x14ac:dyDescent="0.25">
      <c r="A102" s="54" t="s">
        <v>126</v>
      </c>
      <c r="B102" s="3" t="s">
        <v>127</v>
      </c>
      <c r="C102" s="55">
        <v>4</v>
      </c>
      <c r="D102" s="48" t="s">
        <v>119</v>
      </c>
      <c r="E102" s="24" t="s">
        <v>120</v>
      </c>
      <c r="F102" s="26"/>
    </row>
    <row r="103" spans="1:6" ht="47.25" x14ac:dyDescent="0.25">
      <c r="A103" s="41" t="s">
        <v>129</v>
      </c>
      <c r="B103" s="42" t="s">
        <v>145</v>
      </c>
      <c r="C103" s="43">
        <v>4</v>
      </c>
      <c r="D103" s="48" t="s">
        <v>119</v>
      </c>
      <c r="E103" s="24" t="s">
        <v>120</v>
      </c>
      <c r="F103" s="98" t="s">
        <v>268</v>
      </c>
    </row>
    <row r="104" spans="1:6" ht="45.75" x14ac:dyDescent="0.2">
      <c r="A104" s="56"/>
      <c r="B104" s="52" t="s">
        <v>132</v>
      </c>
      <c r="C104" s="53">
        <v>4</v>
      </c>
      <c r="D104" s="48" t="s">
        <v>119</v>
      </c>
      <c r="E104" s="24" t="s">
        <v>120</v>
      </c>
      <c r="F104" s="98"/>
    </row>
    <row r="105" spans="1:6" ht="39.75" thickBot="1" x14ac:dyDescent="0.3">
      <c r="A105" s="57" t="s">
        <v>134</v>
      </c>
      <c r="B105" s="58" t="s">
        <v>135</v>
      </c>
      <c r="C105" s="59">
        <v>3</v>
      </c>
      <c r="D105" s="53" t="s">
        <v>119</v>
      </c>
      <c r="E105" s="63" t="s">
        <v>120</v>
      </c>
      <c r="F105" s="98" t="s">
        <v>267</v>
      </c>
    </row>
    <row r="106" spans="1:6" ht="12.75" x14ac:dyDescent="0.2">
      <c r="A106" s="13"/>
      <c r="B106" s="26"/>
      <c r="C106" s="13"/>
      <c r="D106" s="13"/>
      <c r="E106" s="13"/>
      <c r="F106" s="13"/>
    </row>
    <row r="107" spans="1:6" ht="15" x14ac:dyDescent="0.2">
      <c r="A107" s="13"/>
      <c r="B107" s="14" t="s">
        <v>137</v>
      </c>
      <c r="C107" s="35">
        <f>IFERROR(AVERAGE(C99:C101)+C102+AVERAGE(C103:C104)+C105,0)</f>
        <v>15</v>
      </c>
      <c r="D107" s="35" t="s">
        <v>138</v>
      </c>
      <c r="E107" s="35" t="s">
        <v>139</v>
      </c>
      <c r="F107" s="13"/>
    </row>
    <row r="108" spans="1:6" ht="12.75" x14ac:dyDescent="0.2">
      <c r="A108" s="13"/>
      <c r="B108" s="26"/>
      <c r="C108" s="13"/>
      <c r="D108" s="13"/>
      <c r="E108" s="13"/>
      <c r="F108" s="13"/>
    </row>
    <row r="109" spans="1:6" ht="12.75" x14ac:dyDescent="0.2">
      <c r="A109" s="13"/>
      <c r="B109" s="26"/>
      <c r="C109" s="13"/>
      <c r="D109" s="13"/>
      <c r="E109" s="13"/>
      <c r="F109" s="13"/>
    </row>
    <row r="110" spans="1:6" ht="15.75" customHeight="1" x14ac:dyDescent="0.25">
      <c r="A110" s="16" t="s">
        <v>140</v>
      </c>
      <c r="B110" s="38" t="s">
        <v>141</v>
      </c>
      <c r="C110" s="16"/>
      <c r="D110" s="16"/>
      <c r="E110" s="13"/>
      <c r="F110" s="13"/>
    </row>
  </sheetData>
  <mergeCells count="5">
    <mergeCell ref="B21:D21"/>
    <mergeCell ref="B40:D40"/>
    <mergeCell ref="B59:D59"/>
    <mergeCell ref="B77:D77"/>
    <mergeCell ref="B96:D96"/>
  </mergeCells>
  <dataValidations count="1">
    <dataValidation type="list" allowBlank="1" sqref="C6:C12 C24:C30 C43:C49 C62:C68 C80:C86 C99:C105" xr:uid="{00000000-0002-0000-0300-000000000000}">
      <formula1>"1,2,3,4,5"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82"/>
  <sheetViews>
    <sheetView topLeftCell="A7" workbookViewId="0">
      <selection activeCell="C82" sqref="C82"/>
    </sheetView>
  </sheetViews>
  <sheetFormatPr defaultColWidth="12.5703125" defaultRowHeight="15.75" customHeight="1" x14ac:dyDescent="0.2"/>
  <cols>
    <col min="1" max="1" width="20.85546875" customWidth="1"/>
    <col min="2" max="2" width="58.140625" customWidth="1"/>
    <col min="4" max="4" width="15.28515625" bestFit="1" customWidth="1"/>
    <col min="5" max="5" width="16.5703125" bestFit="1" customWidth="1"/>
    <col min="6" max="6" width="49.140625" style="88" customWidth="1"/>
  </cols>
  <sheetData>
    <row r="1" spans="1:6" ht="15.75" customHeight="1" x14ac:dyDescent="0.25">
      <c r="A1" s="26"/>
      <c r="B1" s="38" t="s">
        <v>149</v>
      </c>
      <c r="C1" s="13"/>
      <c r="D1" s="13"/>
      <c r="E1" s="13"/>
      <c r="F1" s="26"/>
    </row>
    <row r="2" spans="1:6" ht="12.75" x14ac:dyDescent="0.2">
      <c r="A2" s="26"/>
      <c r="B2" s="26"/>
      <c r="C2" s="13"/>
      <c r="D2" s="13"/>
      <c r="E2" s="13"/>
      <c r="F2" s="26"/>
    </row>
    <row r="3" spans="1:6" ht="15.75" customHeight="1" x14ac:dyDescent="0.25">
      <c r="A3" s="38" t="s">
        <v>113</v>
      </c>
      <c r="B3" s="38" t="str">
        <f>'2. Feasibility Check'!B5</f>
        <v>Delivery Date Prediction</v>
      </c>
      <c r="C3" s="13"/>
      <c r="D3" s="13"/>
      <c r="E3" s="13"/>
      <c r="F3" s="26"/>
    </row>
    <row r="4" spans="1:6" ht="12.75" x14ac:dyDescent="0.2">
      <c r="A4" s="26"/>
      <c r="B4" s="26"/>
      <c r="C4" s="13"/>
      <c r="D4" s="13"/>
      <c r="E4" s="13"/>
      <c r="F4" s="26"/>
    </row>
    <row r="5" spans="1:6" ht="15.75" customHeight="1" x14ac:dyDescent="0.25">
      <c r="A5" s="38" t="s">
        <v>150</v>
      </c>
      <c r="B5" s="13"/>
      <c r="C5" s="13"/>
      <c r="D5" s="13"/>
      <c r="E5" s="13"/>
      <c r="F5" s="26"/>
    </row>
    <row r="6" spans="1:6" ht="15" x14ac:dyDescent="0.2">
      <c r="A6" s="26"/>
      <c r="B6" s="14" t="s">
        <v>151</v>
      </c>
      <c r="C6" s="13"/>
      <c r="D6" s="13"/>
      <c r="E6" s="13"/>
      <c r="F6" s="26"/>
    </row>
    <row r="7" spans="1:6" ht="15" x14ac:dyDescent="0.2">
      <c r="A7" s="26"/>
      <c r="B7" s="64" t="s">
        <v>152</v>
      </c>
      <c r="C7" s="13"/>
      <c r="D7" s="13"/>
      <c r="E7" s="13"/>
      <c r="F7" s="26"/>
    </row>
    <row r="8" spans="1:6" ht="15" x14ac:dyDescent="0.2">
      <c r="A8" s="26"/>
      <c r="B8" s="64" t="s">
        <v>153</v>
      </c>
      <c r="C8" s="13"/>
      <c r="D8" s="13"/>
      <c r="E8" s="13"/>
      <c r="F8" s="26"/>
    </row>
    <row r="9" spans="1:6" ht="13.5" thickBot="1" x14ac:dyDescent="0.25">
      <c r="A9" s="26"/>
      <c r="B9" s="26"/>
      <c r="C9" s="13"/>
      <c r="D9" s="13"/>
      <c r="E9" s="13"/>
      <c r="F9" s="26"/>
    </row>
    <row r="10" spans="1:6" ht="15.75" customHeight="1" thickBot="1" x14ac:dyDescent="0.3">
      <c r="A10" s="32"/>
      <c r="B10" s="19" t="s">
        <v>114</v>
      </c>
      <c r="C10" s="18" t="s">
        <v>115</v>
      </c>
      <c r="D10" s="39" t="s">
        <v>30</v>
      </c>
      <c r="E10" s="40" t="s">
        <v>116</v>
      </c>
      <c r="F10" s="103" t="s">
        <v>32</v>
      </c>
    </row>
    <row r="11" spans="1:6" ht="90" x14ac:dyDescent="0.25">
      <c r="A11" s="41" t="s">
        <v>154</v>
      </c>
      <c r="B11" s="42" t="s">
        <v>155</v>
      </c>
      <c r="C11" s="43">
        <v>5</v>
      </c>
      <c r="D11" s="44" t="s">
        <v>119</v>
      </c>
      <c r="E11" s="45" t="s">
        <v>120</v>
      </c>
      <c r="F11" s="26" t="s">
        <v>156</v>
      </c>
    </row>
    <row r="12" spans="1:6" ht="64.5" x14ac:dyDescent="0.25">
      <c r="A12" s="46"/>
      <c r="B12" s="47" t="s">
        <v>157</v>
      </c>
      <c r="C12" s="48">
        <v>3</v>
      </c>
      <c r="D12" s="49" t="s">
        <v>119</v>
      </c>
      <c r="E12" s="50" t="s">
        <v>120</v>
      </c>
      <c r="F12" s="26" t="s">
        <v>158</v>
      </c>
    </row>
    <row r="13" spans="1:6" ht="30.75" x14ac:dyDescent="0.25">
      <c r="A13" s="46"/>
      <c r="B13" s="47" t="s">
        <v>159</v>
      </c>
      <c r="C13" s="48">
        <v>4</v>
      </c>
      <c r="D13" s="49" t="s">
        <v>119</v>
      </c>
      <c r="E13" s="50" t="s">
        <v>120</v>
      </c>
      <c r="F13" s="26" t="s">
        <v>160</v>
      </c>
    </row>
    <row r="14" spans="1:6" ht="78" thickBot="1" x14ac:dyDescent="0.3">
      <c r="A14" s="65"/>
      <c r="B14" s="28" t="s">
        <v>161</v>
      </c>
      <c r="C14" s="66">
        <v>2</v>
      </c>
      <c r="D14" s="60" t="s">
        <v>120</v>
      </c>
      <c r="E14" s="61" t="s">
        <v>119</v>
      </c>
      <c r="F14" s="26" t="s">
        <v>162</v>
      </c>
    </row>
    <row r="15" spans="1:6" ht="12.75" x14ac:dyDescent="0.2">
      <c r="A15" s="13"/>
      <c r="B15" s="13"/>
      <c r="C15" s="13"/>
      <c r="D15" s="13"/>
      <c r="E15" s="13"/>
      <c r="F15" s="26"/>
    </row>
    <row r="16" spans="1:6" ht="15" x14ac:dyDescent="0.2">
      <c r="A16" s="13"/>
      <c r="B16" s="35" t="s">
        <v>137</v>
      </c>
      <c r="C16" s="35">
        <f>SUM(C11:C14)</f>
        <v>14</v>
      </c>
      <c r="D16" s="35" t="s">
        <v>138</v>
      </c>
      <c r="E16" s="35" t="s">
        <v>139</v>
      </c>
      <c r="F16" s="26"/>
    </row>
    <row r="17" spans="1:26" ht="12.75" x14ac:dyDescent="0.2">
      <c r="A17" s="13"/>
      <c r="B17" s="13"/>
      <c r="C17" s="13"/>
      <c r="D17" s="13"/>
      <c r="E17" s="13"/>
      <c r="F17" s="26"/>
    </row>
    <row r="18" spans="1:26" ht="12.75" x14ac:dyDescent="0.2">
      <c r="A18" s="13"/>
      <c r="B18" s="13"/>
      <c r="C18" s="13"/>
      <c r="D18" s="13"/>
      <c r="E18" s="13"/>
      <c r="F18" s="26"/>
    </row>
    <row r="19" spans="1:26" ht="15.75" customHeight="1" x14ac:dyDescent="0.25">
      <c r="A19" s="16" t="s">
        <v>140</v>
      </c>
      <c r="B19" s="38" t="s">
        <v>163</v>
      </c>
      <c r="C19" s="16"/>
      <c r="D19" s="16"/>
      <c r="E19" s="13"/>
      <c r="F19" s="26"/>
    </row>
    <row r="20" spans="1:26" ht="12.75" x14ac:dyDescent="0.2">
      <c r="A20" s="13"/>
      <c r="B20" s="13"/>
      <c r="C20" s="13"/>
      <c r="D20" s="13"/>
      <c r="E20" s="13"/>
      <c r="F20" s="26"/>
    </row>
    <row r="21" spans="1:26" ht="12.75" x14ac:dyDescent="0.2">
      <c r="A21" s="36"/>
      <c r="B21" s="36"/>
      <c r="C21" s="36"/>
      <c r="D21" s="36"/>
      <c r="E21" s="36"/>
      <c r="F21" s="87"/>
      <c r="G21" s="37"/>
      <c r="H21" s="37"/>
      <c r="I21" s="37"/>
      <c r="J21" s="37"/>
      <c r="K21" s="37"/>
      <c r="L21" s="37"/>
      <c r="M21" s="37"/>
      <c r="N21" s="37"/>
      <c r="O21" s="37"/>
      <c r="P21" s="37"/>
      <c r="Q21" s="37"/>
      <c r="R21" s="37"/>
      <c r="S21" s="37"/>
      <c r="T21" s="37"/>
      <c r="U21" s="37"/>
      <c r="V21" s="37"/>
      <c r="W21" s="37"/>
      <c r="X21" s="37"/>
      <c r="Y21" s="37"/>
      <c r="Z21" s="37"/>
    </row>
    <row r="22" spans="1:26" ht="12.75" x14ac:dyDescent="0.2">
      <c r="A22" s="13"/>
      <c r="B22" s="13"/>
      <c r="C22" s="13"/>
      <c r="D22" s="13"/>
      <c r="E22" s="13"/>
      <c r="F22" s="26"/>
    </row>
    <row r="23" spans="1:26" ht="15.75" customHeight="1" x14ac:dyDescent="0.25">
      <c r="A23" s="99" t="s">
        <v>212</v>
      </c>
      <c r="B23" s="120" t="s">
        <v>14</v>
      </c>
      <c r="C23" s="117"/>
      <c r="D23" s="117"/>
      <c r="E23" s="13"/>
      <c r="F23" s="26"/>
    </row>
    <row r="24" spans="1:26" ht="13.5" thickBot="1" x14ac:dyDescent="0.25">
      <c r="A24" s="13"/>
      <c r="B24" s="13"/>
      <c r="C24" s="13"/>
      <c r="D24" s="13"/>
      <c r="E24" s="13"/>
      <c r="F24" s="26"/>
    </row>
    <row r="25" spans="1:26" ht="15.75" customHeight="1" thickBot="1" x14ac:dyDescent="0.3">
      <c r="A25" s="32"/>
      <c r="B25" s="19" t="s">
        <v>114</v>
      </c>
      <c r="C25" s="18" t="s">
        <v>115</v>
      </c>
      <c r="D25" s="18" t="s">
        <v>30</v>
      </c>
      <c r="E25" s="67" t="s">
        <v>116</v>
      </c>
      <c r="F25" s="103"/>
    </row>
    <row r="26" spans="1:26" ht="39" x14ac:dyDescent="0.25">
      <c r="A26" s="41" t="s">
        <v>154</v>
      </c>
      <c r="B26" s="42" t="s">
        <v>164</v>
      </c>
      <c r="C26" s="68">
        <v>5</v>
      </c>
      <c r="D26" s="44" t="s">
        <v>119</v>
      </c>
      <c r="E26" s="45" t="s">
        <v>120</v>
      </c>
      <c r="F26" s="26" t="s">
        <v>217</v>
      </c>
    </row>
    <row r="27" spans="1:26" ht="30.75" x14ac:dyDescent="0.25">
      <c r="A27" s="46"/>
      <c r="B27" s="47" t="s">
        <v>165</v>
      </c>
      <c r="C27" s="69">
        <v>5</v>
      </c>
      <c r="D27" s="49" t="s">
        <v>119</v>
      </c>
      <c r="E27" s="50" t="s">
        <v>120</v>
      </c>
      <c r="F27" s="26" t="s">
        <v>220</v>
      </c>
    </row>
    <row r="28" spans="1:26" ht="30.75" x14ac:dyDescent="0.25">
      <c r="A28" s="46"/>
      <c r="B28" s="47" t="s">
        <v>159</v>
      </c>
      <c r="C28" s="69">
        <v>4</v>
      </c>
      <c r="D28" s="49" t="s">
        <v>119</v>
      </c>
      <c r="E28" s="50" t="s">
        <v>120</v>
      </c>
      <c r="F28" s="26" t="s">
        <v>218</v>
      </c>
    </row>
    <row r="29" spans="1:26" ht="31.5" thickBot="1" x14ac:dyDescent="0.3">
      <c r="A29" s="65"/>
      <c r="B29" s="28" t="s">
        <v>166</v>
      </c>
      <c r="C29" s="29">
        <v>4</v>
      </c>
      <c r="D29" s="60" t="s">
        <v>120</v>
      </c>
      <c r="E29" s="61" t="s">
        <v>119</v>
      </c>
      <c r="F29" s="26" t="s">
        <v>219</v>
      </c>
    </row>
    <row r="31" spans="1:26" ht="15" x14ac:dyDescent="0.2">
      <c r="B31" s="35" t="s">
        <v>137</v>
      </c>
      <c r="C31" s="35">
        <f>SUM(C26:C29)</f>
        <v>18</v>
      </c>
      <c r="D31" s="35" t="s">
        <v>138</v>
      </c>
      <c r="E31" s="35" t="s">
        <v>139</v>
      </c>
    </row>
    <row r="34" spans="1:26" ht="12.75" x14ac:dyDescent="0.2">
      <c r="A34" s="36"/>
      <c r="B34" s="36"/>
      <c r="C34" s="36"/>
      <c r="D34" s="36"/>
      <c r="E34" s="36"/>
      <c r="F34" s="87"/>
      <c r="G34" s="37"/>
      <c r="H34" s="37"/>
      <c r="I34" s="37"/>
      <c r="J34" s="37"/>
      <c r="K34" s="37"/>
      <c r="L34" s="37"/>
      <c r="M34" s="37"/>
      <c r="N34" s="37"/>
      <c r="O34" s="37"/>
      <c r="P34" s="37"/>
      <c r="Q34" s="37"/>
      <c r="R34" s="37"/>
      <c r="S34" s="37"/>
      <c r="T34" s="37"/>
      <c r="U34" s="37"/>
      <c r="V34" s="37"/>
      <c r="W34" s="37"/>
      <c r="X34" s="37"/>
      <c r="Y34" s="37"/>
      <c r="Z34" s="37"/>
    </row>
    <row r="35" spans="1:26" ht="12.75" x14ac:dyDescent="0.2">
      <c r="A35" s="13"/>
      <c r="B35" s="13"/>
      <c r="C35" s="13"/>
      <c r="D35" s="13"/>
      <c r="E35" s="13"/>
      <c r="F35" s="26"/>
    </row>
    <row r="36" spans="1:26" ht="15.75" customHeight="1" x14ac:dyDescent="0.25">
      <c r="A36" s="99" t="s">
        <v>213</v>
      </c>
      <c r="B36" s="118" t="s">
        <v>16</v>
      </c>
      <c r="C36" s="117"/>
      <c r="D36" s="117"/>
      <c r="E36" s="13"/>
      <c r="F36" s="26"/>
    </row>
    <row r="37" spans="1:26" ht="13.5" thickBot="1" x14ac:dyDescent="0.25">
      <c r="A37" s="13"/>
      <c r="B37" s="13"/>
      <c r="C37" s="13"/>
      <c r="D37" s="13"/>
      <c r="E37" s="13"/>
      <c r="F37" s="26"/>
    </row>
    <row r="38" spans="1:26" ht="15.75" customHeight="1" thickBot="1" x14ac:dyDescent="0.3">
      <c r="A38" s="32"/>
      <c r="B38" s="19" t="s">
        <v>114</v>
      </c>
      <c r="C38" s="18" t="s">
        <v>115</v>
      </c>
      <c r="D38" s="18" t="s">
        <v>30</v>
      </c>
      <c r="E38" s="67" t="s">
        <v>116</v>
      </c>
      <c r="F38" s="103"/>
    </row>
    <row r="39" spans="1:26" ht="36" x14ac:dyDescent="0.25">
      <c r="A39" s="41" t="s">
        <v>154</v>
      </c>
      <c r="B39" s="42" t="s">
        <v>155</v>
      </c>
      <c r="C39" s="68">
        <v>4</v>
      </c>
      <c r="D39" s="44" t="s">
        <v>119</v>
      </c>
      <c r="E39" s="45" t="s">
        <v>120</v>
      </c>
      <c r="F39" s="26" t="s">
        <v>221</v>
      </c>
    </row>
    <row r="40" spans="1:26" ht="30.75" x14ac:dyDescent="0.25">
      <c r="A40" s="46"/>
      <c r="B40" s="47" t="s">
        <v>157</v>
      </c>
      <c r="C40" s="69">
        <v>3</v>
      </c>
      <c r="D40" s="49" t="s">
        <v>119</v>
      </c>
      <c r="E40" s="50" t="s">
        <v>120</v>
      </c>
      <c r="F40" s="26"/>
    </row>
    <row r="41" spans="1:26" ht="30.75" x14ac:dyDescent="0.25">
      <c r="A41" s="46"/>
      <c r="B41" s="47" t="s">
        <v>159</v>
      </c>
      <c r="C41" s="69">
        <v>3</v>
      </c>
      <c r="D41" s="49" t="s">
        <v>119</v>
      </c>
      <c r="E41" s="50" t="s">
        <v>120</v>
      </c>
      <c r="F41" s="26" t="s">
        <v>222</v>
      </c>
    </row>
    <row r="42" spans="1:26" ht="31.5" thickBot="1" x14ac:dyDescent="0.3">
      <c r="A42" s="65"/>
      <c r="B42" s="28" t="s">
        <v>161</v>
      </c>
      <c r="C42" s="29">
        <v>3</v>
      </c>
      <c r="D42" s="60" t="s">
        <v>120</v>
      </c>
      <c r="E42" s="61" t="s">
        <v>119</v>
      </c>
      <c r="F42" s="26"/>
    </row>
    <row r="44" spans="1:26" ht="15" x14ac:dyDescent="0.2">
      <c r="B44" s="35" t="s">
        <v>137</v>
      </c>
      <c r="C44" s="35">
        <f>SUM(C39:C42)</f>
        <v>13</v>
      </c>
      <c r="D44" s="35" t="s">
        <v>138</v>
      </c>
      <c r="E44" s="35" t="s">
        <v>139</v>
      </c>
    </row>
    <row r="46" spans="1:26" ht="12.75" x14ac:dyDescent="0.2">
      <c r="A46" s="36"/>
      <c r="B46" s="36"/>
      <c r="C46" s="36"/>
      <c r="D46" s="36"/>
      <c r="E46" s="36"/>
      <c r="F46" s="87"/>
      <c r="G46" s="37"/>
      <c r="H46" s="37"/>
      <c r="I46" s="37"/>
      <c r="J46" s="37"/>
      <c r="K46" s="37"/>
      <c r="L46" s="37"/>
      <c r="M46" s="37"/>
      <c r="N46" s="37"/>
      <c r="O46" s="37"/>
      <c r="P46" s="37"/>
      <c r="Q46" s="37"/>
      <c r="R46" s="37"/>
      <c r="S46" s="37"/>
      <c r="T46" s="37"/>
      <c r="U46" s="37"/>
      <c r="V46" s="37"/>
      <c r="W46" s="37"/>
      <c r="X46" s="37"/>
      <c r="Y46" s="37"/>
      <c r="Z46" s="37"/>
    </row>
    <row r="47" spans="1:26" ht="12.75" x14ac:dyDescent="0.2">
      <c r="A47" s="13"/>
      <c r="B47" s="13"/>
      <c r="C47" s="13"/>
      <c r="D47" s="13"/>
      <c r="E47" s="13"/>
      <c r="F47" s="26"/>
    </row>
    <row r="48" spans="1:26" ht="15.75" customHeight="1" x14ac:dyDescent="0.25">
      <c r="A48" s="99" t="s">
        <v>214</v>
      </c>
      <c r="B48" s="118" t="s">
        <v>206</v>
      </c>
      <c r="C48" s="117"/>
      <c r="D48" s="117"/>
      <c r="E48" s="13"/>
      <c r="F48" s="26"/>
    </row>
    <row r="49" spans="1:26" ht="13.5" thickBot="1" x14ac:dyDescent="0.25">
      <c r="A49" s="13"/>
      <c r="B49" s="13"/>
      <c r="C49" s="13"/>
      <c r="D49" s="13"/>
      <c r="E49" s="13"/>
      <c r="F49" s="26"/>
    </row>
    <row r="50" spans="1:26" ht="15.75" customHeight="1" thickBot="1" x14ac:dyDescent="0.3">
      <c r="A50" s="32"/>
      <c r="B50" s="19" t="s">
        <v>114</v>
      </c>
      <c r="C50" s="18" t="s">
        <v>115</v>
      </c>
      <c r="D50" s="18" t="s">
        <v>30</v>
      </c>
      <c r="E50" s="67" t="s">
        <v>116</v>
      </c>
      <c r="F50" s="103"/>
    </row>
    <row r="51" spans="1:26" ht="36" x14ac:dyDescent="0.25">
      <c r="A51" s="41" t="s">
        <v>154</v>
      </c>
      <c r="B51" s="42" t="s">
        <v>155</v>
      </c>
      <c r="C51" s="68">
        <v>3</v>
      </c>
      <c r="D51" s="44" t="s">
        <v>119</v>
      </c>
      <c r="E51" s="45" t="s">
        <v>120</v>
      </c>
      <c r="F51" s="98" t="s">
        <v>223</v>
      </c>
    </row>
    <row r="52" spans="1:26" ht="30.75" x14ac:dyDescent="0.25">
      <c r="A52" s="46"/>
      <c r="B52" s="47" t="s">
        <v>157</v>
      </c>
      <c r="C52" s="69">
        <v>3</v>
      </c>
      <c r="D52" s="49" t="s">
        <v>119</v>
      </c>
      <c r="E52" s="50" t="s">
        <v>120</v>
      </c>
      <c r="F52" s="98" t="s">
        <v>224</v>
      </c>
    </row>
    <row r="53" spans="1:26" ht="30.75" x14ac:dyDescent="0.25">
      <c r="A53" s="46"/>
      <c r="B53" s="47" t="s">
        <v>159</v>
      </c>
      <c r="C53" s="69">
        <v>3</v>
      </c>
      <c r="D53" s="49" t="s">
        <v>119</v>
      </c>
      <c r="E53" s="50" t="s">
        <v>120</v>
      </c>
    </row>
    <row r="54" spans="1:26" ht="31.5" thickBot="1" x14ac:dyDescent="0.3">
      <c r="A54" s="65"/>
      <c r="B54" s="28" t="s">
        <v>161</v>
      </c>
      <c r="C54" s="29">
        <v>3</v>
      </c>
      <c r="D54" s="60" t="s">
        <v>120</v>
      </c>
      <c r="E54" s="61" t="s">
        <v>119</v>
      </c>
      <c r="F54" s="98" t="s">
        <v>225</v>
      </c>
    </row>
    <row r="56" spans="1:26" ht="15" x14ac:dyDescent="0.2">
      <c r="B56" s="35" t="s">
        <v>137</v>
      </c>
      <c r="C56" s="35">
        <f>SUM(C51:C54)</f>
        <v>12</v>
      </c>
      <c r="D56" s="35" t="s">
        <v>138</v>
      </c>
      <c r="E56" s="35" t="s">
        <v>139</v>
      </c>
    </row>
    <row r="59" spans="1:26" ht="12.75" x14ac:dyDescent="0.2">
      <c r="A59" s="36"/>
      <c r="B59" s="36"/>
      <c r="C59" s="36"/>
      <c r="D59" s="36"/>
      <c r="E59" s="36"/>
      <c r="F59" s="87"/>
      <c r="G59" s="37"/>
      <c r="H59" s="37"/>
      <c r="I59" s="37"/>
      <c r="J59" s="37"/>
      <c r="K59" s="37"/>
      <c r="L59" s="37"/>
      <c r="M59" s="37"/>
      <c r="N59" s="37"/>
      <c r="O59" s="37"/>
      <c r="P59" s="37"/>
      <c r="Q59" s="37"/>
      <c r="R59" s="37"/>
      <c r="S59" s="37"/>
      <c r="T59" s="37"/>
      <c r="U59" s="37"/>
      <c r="V59" s="37"/>
      <c r="W59" s="37"/>
      <c r="X59" s="37"/>
      <c r="Y59" s="37"/>
      <c r="Z59" s="37"/>
    </row>
    <row r="60" spans="1:26" ht="12.75" x14ac:dyDescent="0.2">
      <c r="A60" s="13"/>
      <c r="B60" s="13"/>
      <c r="C60" s="13"/>
      <c r="D60" s="13"/>
      <c r="E60" s="13"/>
      <c r="F60" s="26"/>
    </row>
    <row r="61" spans="1:26" ht="15.75" customHeight="1" x14ac:dyDescent="0.25">
      <c r="A61" s="99" t="s">
        <v>215</v>
      </c>
      <c r="B61" s="118" t="s">
        <v>20</v>
      </c>
      <c r="C61" s="117"/>
      <c r="D61" s="117"/>
      <c r="E61" s="13"/>
      <c r="F61" s="26"/>
    </row>
    <row r="62" spans="1:26" ht="13.5" thickBot="1" x14ac:dyDescent="0.25">
      <c r="A62" s="13"/>
      <c r="B62" s="13"/>
      <c r="C62" s="13"/>
      <c r="D62" s="13"/>
      <c r="E62" s="13"/>
      <c r="F62" s="26"/>
    </row>
    <row r="63" spans="1:26" ht="15.75" customHeight="1" thickBot="1" x14ac:dyDescent="0.3">
      <c r="A63" s="32"/>
      <c r="B63" s="19" t="s">
        <v>114</v>
      </c>
      <c r="C63" s="18" t="s">
        <v>115</v>
      </c>
      <c r="D63" s="18" t="s">
        <v>30</v>
      </c>
      <c r="E63" s="67" t="s">
        <v>116</v>
      </c>
      <c r="F63" s="103"/>
    </row>
    <row r="64" spans="1:26" ht="36" x14ac:dyDescent="0.25">
      <c r="A64" s="41" t="s">
        <v>154</v>
      </c>
      <c r="B64" s="42" t="s">
        <v>155</v>
      </c>
      <c r="C64" s="68">
        <v>2</v>
      </c>
      <c r="D64" s="44" t="s">
        <v>119</v>
      </c>
      <c r="E64" s="45" t="s">
        <v>120</v>
      </c>
      <c r="F64" s="98" t="s">
        <v>226</v>
      </c>
    </row>
    <row r="65" spans="1:26" ht="30.75" x14ac:dyDescent="0.25">
      <c r="A65" s="46"/>
      <c r="B65" s="47" t="s">
        <v>157</v>
      </c>
      <c r="C65" s="69">
        <v>2</v>
      </c>
      <c r="D65" s="49" t="s">
        <v>119</v>
      </c>
      <c r="E65" s="50" t="s">
        <v>120</v>
      </c>
      <c r="F65" s="26"/>
    </row>
    <row r="66" spans="1:26" ht="30.75" x14ac:dyDescent="0.25">
      <c r="A66" s="46"/>
      <c r="B66" s="47" t="s">
        <v>159</v>
      </c>
      <c r="C66" s="69">
        <v>2</v>
      </c>
      <c r="D66" s="49" t="s">
        <v>119</v>
      </c>
      <c r="E66" s="50" t="s">
        <v>120</v>
      </c>
      <c r="F66" s="98" t="s">
        <v>227</v>
      </c>
    </row>
    <row r="67" spans="1:26" ht="31.5" thickBot="1" x14ac:dyDescent="0.3">
      <c r="A67" s="65"/>
      <c r="B67" s="28" t="s">
        <v>161</v>
      </c>
      <c r="C67" s="29">
        <v>2</v>
      </c>
      <c r="D67" s="60" t="s">
        <v>120</v>
      </c>
      <c r="E67" s="61" t="s">
        <v>119</v>
      </c>
      <c r="F67" s="26"/>
    </row>
    <row r="69" spans="1:26" ht="15" x14ac:dyDescent="0.2">
      <c r="B69" s="35" t="s">
        <v>137</v>
      </c>
      <c r="C69" s="35">
        <f>SUM(C64:C67)</f>
        <v>8</v>
      </c>
      <c r="D69" s="35" t="s">
        <v>138</v>
      </c>
      <c r="E69" s="35" t="s">
        <v>139</v>
      </c>
    </row>
    <row r="72" spans="1:26" ht="12.75" x14ac:dyDescent="0.2">
      <c r="A72" s="36"/>
      <c r="B72" s="36"/>
      <c r="C72" s="36"/>
      <c r="D72" s="36"/>
      <c r="E72" s="36"/>
      <c r="F72" s="87"/>
      <c r="G72" s="37"/>
      <c r="H72" s="37"/>
      <c r="I72" s="37"/>
      <c r="J72" s="37"/>
      <c r="K72" s="37"/>
      <c r="L72" s="37"/>
      <c r="M72" s="37"/>
      <c r="N72" s="37"/>
      <c r="O72" s="37"/>
      <c r="P72" s="37"/>
      <c r="Q72" s="37"/>
      <c r="R72" s="37"/>
      <c r="S72" s="37"/>
      <c r="T72" s="37"/>
      <c r="U72" s="37"/>
      <c r="V72" s="37"/>
      <c r="W72" s="37"/>
      <c r="X72" s="37"/>
      <c r="Y72" s="37"/>
      <c r="Z72" s="37"/>
    </row>
    <row r="73" spans="1:26" ht="12.75" x14ac:dyDescent="0.2">
      <c r="A73" s="13"/>
      <c r="B73" s="13"/>
      <c r="C73" s="13"/>
      <c r="D73" s="13"/>
      <c r="E73" s="13"/>
      <c r="F73" s="26"/>
    </row>
    <row r="74" spans="1:26" ht="15.75" customHeight="1" x14ac:dyDescent="0.25">
      <c r="A74" s="99" t="s">
        <v>216</v>
      </c>
      <c r="B74" s="118" t="s">
        <v>22</v>
      </c>
      <c r="C74" s="117"/>
      <c r="D74" s="117"/>
      <c r="E74" s="13"/>
      <c r="F74" s="26"/>
    </row>
    <row r="75" spans="1:26" ht="13.5" thickBot="1" x14ac:dyDescent="0.25">
      <c r="A75" s="13"/>
      <c r="B75" s="13"/>
      <c r="C75" s="13"/>
      <c r="D75" s="13"/>
      <c r="E75" s="13"/>
      <c r="F75" s="26"/>
    </row>
    <row r="76" spans="1:26" ht="15.75" customHeight="1" thickBot="1" x14ac:dyDescent="0.3">
      <c r="A76" s="32"/>
      <c r="B76" s="19" t="s">
        <v>114</v>
      </c>
      <c r="C76" s="18" t="s">
        <v>115</v>
      </c>
      <c r="D76" s="18" t="s">
        <v>30</v>
      </c>
      <c r="E76" s="67" t="s">
        <v>116</v>
      </c>
      <c r="F76" s="103"/>
    </row>
    <row r="77" spans="1:26" ht="36" x14ac:dyDescent="0.25">
      <c r="A77" s="41" t="s">
        <v>154</v>
      </c>
      <c r="B77" s="42" t="s">
        <v>155</v>
      </c>
      <c r="C77" s="68">
        <v>4</v>
      </c>
      <c r="D77" s="44" t="s">
        <v>119</v>
      </c>
      <c r="E77" s="45" t="s">
        <v>120</v>
      </c>
      <c r="F77" s="98" t="s">
        <v>228</v>
      </c>
    </row>
    <row r="78" spans="1:26" ht="30.75" x14ac:dyDescent="0.25">
      <c r="A78" s="46"/>
      <c r="B78" s="47" t="s">
        <v>157</v>
      </c>
      <c r="C78" s="69">
        <v>4</v>
      </c>
      <c r="D78" s="49" t="s">
        <v>119</v>
      </c>
      <c r="E78" s="50" t="s">
        <v>120</v>
      </c>
      <c r="F78" s="26"/>
    </row>
    <row r="79" spans="1:26" ht="30.75" x14ac:dyDescent="0.25">
      <c r="A79" s="46"/>
      <c r="B79" s="47" t="s">
        <v>159</v>
      </c>
      <c r="C79" s="69">
        <v>3</v>
      </c>
      <c r="D79" s="49" t="s">
        <v>119</v>
      </c>
      <c r="E79" s="50" t="s">
        <v>120</v>
      </c>
      <c r="F79" s="98" t="s">
        <v>229</v>
      </c>
    </row>
    <row r="80" spans="1:26" ht="31.5" thickBot="1" x14ac:dyDescent="0.3">
      <c r="A80" s="65"/>
      <c r="B80" s="28" t="s">
        <v>161</v>
      </c>
      <c r="C80" s="29">
        <v>4</v>
      </c>
      <c r="D80" s="60" t="s">
        <v>120</v>
      </c>
      <c r="E80" s="61" t="s">
        <v>119</v>
      </c>
      <c r="F80" s="26"/>
    </row>
    <row r="82" spans="2:5" ht="15" x14ac:dyDescent="0.2">
      <c r="B82" s="35" t="s">
        <v>137</v>
      </c>
      <c r="C82" s="35">
        <f>SUM(C77:C80)</f>
        <v>15</v>
      </c>
      <c r="D82" s="35" t="s">
        <v>138</v>
      </c>
      <c r="E82" s="35" t="s">
        <v>139</v>
      </c>
    </row>
  </sheetData>
  <mergeCells count="5">
    <mergeCell ref="B36:D36"/>
    <mergeCell ref="B48:D48"/>
    <mergeCell ref="B61:D61"/>
    <mergeCell ref="B74:D74"/>
    <mergeCell ref="B23:D23"/>
  </mergeCells>
  <dataValidations count="1">
    <dataValidation type="list" allowBlank="1" sqref="C11:C14 C26:C29 C39:C42 C51:C54 C64:C67 C77:C80" xr:uid="{00000000-0002-0000-0400-000000000000}">
      <formula1>"1,2,3,4,5"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12"/>
  <sheetViews>
    <sheetView tabSelected="1" topLeftCell="A98" workbookViewId="0">
      <selection activeCell="M1" sqref="M1:O23"/>
    </sheetView>
  </sheetViews>
  <sheetFormatPr defaultColWidth="12.5703125" defaultRowHeight="15.75" customHeight="1" x14ac:dyDescent="0.2"/>
  <cols>
    <col min="1" max="1" width="22.140625" bestFit="1" customWidth="1"/>
    <col min="2" max="2" width="19" customWidth="1"/>
    <col min="3" max="3" width="32.140625" bestFit="1" customWidth="1"/>
    <col min="4" max="4" width="8.5703125" bestFit="1" customWidth="1"/>
    <col min="5" max="5" width="26.5703125" bestFit="1" customWidth="1"/>
    <col min="6" max="6" width="15.42578125" bestFit="1" customWidth="1"/>
    <col min="15" max="15" width="14.5703125" bestFit="1" customWidth="1"/>
  </cols>
  <sheetData>
    <row r="1" spans="1:15" ht="15" x14ac:dyDescent="0.2">
      <c r="A1" s="35"/>
      <c r="B1" s="35" t="s">
        <v>167</v>
      </c>
      <c r="C1" s="35"/>
      <c r="D1" s="35"/>
      <c r="E1" s="35"/>
      <c r="F1" s="35"/>
      <c r="M1" s="138" t="s">
        <v>296</v>
      </c>
      <c r="N1" s="138"/>
      <c r="O1" s="138"/>
    </row>
    <row r="2" spans="1:15" ht="15" x14ac:dyDescent="0.2">
      <c r="A2" s="35"/>
      <c r="B2" s="35"/>
      <c r="C2" s="35"/>
      <c r="D2" s="35"/>
      <c r="E2" s="35"/>
      <c r="F2" s="35"/>
      <c r="M2" s="139">
        <v>1</v>
      </c>
      <c r="N2" s="139" t="s">
        <v>277</v>
      </c>
      <c r="O2" s="140">
        <v>323815.95</v>
      </c>
    </row>
    <row r="3" spans="1:15" ht="15.75" customHeight="1" x14ac:dyDescent="0.25">
      <c r="A3" s="70" t="s">
        <v>168</v>
      </c>
      <c r="B3" s="120" t="str">
        <f>'2. Feasibility Check'!B5</f>
        <v>Delivery Date Prediction</v>
      </c>
      <c r="C3" s="117"/>
      <c r="D3" s="117"/>
      <c r="E3" s="117"/>
      <c r="F3" s="117"/>
      <c r="M3" s="139">
        <v>2</v>
      </c>
      <c r="N3" s="139" t="s">
        <v>278</v>
      </c>
      <c r="O3" s="140">
        <v>505735.83</v>
      </c>
    </row>
    <row r="4" spans="1:15" ht="18.75" thickBot="1" x14ac:dyDescent="0.25">
      <c r="A4" s="70"/>
      <c r="B4" s="35"/>
      <c r="C4" s="35"/>
      <c r="D4" s="35"/>
      <c r="E4" s="35"/>
      <c r="F4" s="35"/>
      <c r="M4" s="139">
        <v>3</v>
      </c>
      <c r="N4" s="139" t="s">
        <v>279</v>
      </c>
      <c r="O4" s="140">
        <v>456108.32</v>
      </c>
    </row>
    <row r="5" spans="1:15" ht="18" x14ac:dyDescent="0.2">
      <c r="A5" s="71" t="s">
        <v>169</v>
      </c>
      <c r="B5" s="121" t="s">
        <v>170</v>
      </c>
      <c r="C5" s="122"/>
      <c r="D5" s="122"/>
      <c r="E5" s="122"/>
      <c r="F5" s="123"/>
      <c r="M5" s="139">
        <v>4</v>
      </c>
      <c r="N5" s="139" t="s">
        <v>280</v>
      </c>
      <c r="O5" s="140">
        <v>701119.6</v>
      </c>
    </row>
    <row r="6" spans="1:15" ht="18" x14ac:dyDescent="0.2">
      <c r="A6" s="72"/>
      <c r="B6" s="48"/>
      <c r="C6" s="35"/>
      <c r="D6" s="35"/>
      <c r="E6" s="35" t="s">
        <v>171</v>
      </c>
      <c r="F6" s="50"/>
      <c r="M6" s="139">
        <v>5</v>
      </c>
      <c r="N6" s="139" t="s">
        <v>281</v>
      </c>
      <c r="O6" s="140">
        <v>585400.98</v>
      </c>
    </row>
    <row r="7" spans="1:15" ht="18" x14ac:dyDescent="0.2">
      <c r="A7" s="72"/>
      <c r="B7" s="73" t="s">
        <v>172</v>
      </c>
      <c r="C7" s="35" t="s">
        <v>173</v>
      </c>
      <c r="D7" s="35"/>
      <c r="F7" s="50"/>
      <c r="M7" s="139">
        <v>6</v>
      </c>
      <c r="N7" s="139" t="s">
        <v>282</v>
      </c>
      <c r="O7" s="140">
        <v>716069.98</v>
      </c>
    </row>
    <row r="8" spans="1:15" ht="18" x14ac:dyDescent="0.2">
      <c r="A8" s="72"/>
      <c r="B8" s="73"/>
      <c r="C8" s="35" t="s">
        <v>174</v>
      </c>
      <c r="D8" s="35" t="s">
        <v>74</v>
      </c>
      <c r="E8" s="35">
        <v>1021.65</v>
      </c>
      <c r="F8" s="112" t="s">
        <v>276</v>
      </c>
      <c r="M8" s="139">
        <v>7</v>
      </c>
      <c r="N8" s="139" t="s">
        <v>283</v>
      </c>
      <c r="O8" s="140">
        <v>842689.94</v>
      </c>
    </row>
    <row r="9" spans="1:15" ht="18" x14ac:dyDescent="0.2">
      <c r="A9" s="72"/>
      <c r="B9" s="73"/>
      <c r="C9" s="35" t="s">
        <v>175</v>
      </c>
      <c r="D9" s="35"/>
      <c r="E9" s="35"/>
      <c r="F9" s="50"/>
      <c r="M9" s="139">
        <v>8</v>
      </c>
      <c r="N9" s="139" t="s">
        <v>284</v>
      </c>
      <c r="O9" s="140">
        <v>996085.61</v>
      </c>
    </row>
    <row r="10" spans="1:15" ht="30" x14ac:dyDescent="0.2">
      <c r="A10" s="72"/>
      <c r="B10" s="73" t="s">
        <v>176</v>
      </c>
      <c r="C10" s="35" t="s">
        <v>177</v>
      </c>
      <c r="D10" s="35"/>
      <c r="E10" s="35"/>
      <c r="F10" s="50"/>
      <c r="M10" s="139">
        <v>9</v>
      </c>
      <c r="N10" s="139" t="s">
        <v>285</v>
      </c>
      <c r="O10" s="140">
        <v>998609.62</v>
      </c>
    </row>
    <row r="11" spans="1:15" ht="18" x14ac:dyDescent="0.2">
      <c r="A11" s="72"/>
      <c r="B11" s="73"/>
      <c r="C11" s="35" t="s">
        <v>178</v>
      </c>
      <c r="D11" s="35" t="s">
        <v>74</v>
      </c>
      <c r="E11" s="35">
        <v>2724.4</v>
      </c>
      <c r="F11" s="112" t="s">
        <v>276</v>
      </c>
      <c r="M11" s="139">
        <v>10</v>
      </c>
      <c r="N11" s="139" t="s">
        <v>286</v>
      </c>
      <c r="O11" s="140">
        <v>1548547.86</v>
      </c>
    </row>
    <row r="12" spans="1:15" ht="18" x14ac:dyDescent="0.2">
      <c r="A12" s="72"/>
      <c r="B12" s="48"/>
      <c r="C12" s="35" t="s">
        <v>179</v>
      </c>
      <c r="D12" s="35"/>
      <c r="E12" s="35"/>
      <c r="F12" s="50"/>
      <c r="M12" s="139">
        <v>11</v>
      </c>
      <c r="N12" s="139" t="s">
        <v>287</v>
      </c>
      <c r="O12" s="140">
        <v>1020067.26</v>
      </c>
    </row>
    <row r="13" spans="1:15" ht="18.75" thickBot="1" x14ac:dyDescent="0.25">
      <c r="A13" s="74"/>
      <c r="B13" s="75"/>
      <c r="C13" s="66" t="s">
        <v>180</v>
      </c>
      <c r="D13" s="66"/>
      <c r="E13" s="66"/>
      <c r="F13" s="61"/>
      <c r="M13" s="139">
        <v>12</v>
      </c>
      <c r="N13" s="139" t="s">
        <v>288</v>
      </c>
      <c r="O13" s="140">
        <v>1374064.02</v>
      </c>
    </row>
    <row r="14" spans="1:15" ht="18" x14ac:dyDescent="0.2">
      <c r="A14" s="70"/>
      <c r="B14" s="35"/>
      <c r="C14" s="35"/>
      <c r="D14" s="35"/>
      <c r="E14" s="35">
        <f>SUM(E7:E13)</f>
        <v>3746.05</v>
      </c>
      <c r="F14" s="35"/>
      <c r="M14" s="139">
        <v>13</v>
      </c>
      <c r="N14" s="139" t="s">
        <v>289</v>
      </c>
      <c r="O14" s="140">
        <v>1280014.54</v>
      </c>
    </row>
    <row r="15" spans="1:15" ht="18" x14ac:dyDescent="0.2">
      <c r="A15" s="70"/>
      <c r="B15" s="35"/>
      <c r="C15" s="35"/>
      <c r="D15" s="35"/>
      <c r="E15" s="35"/>
      <c r="F15" s="35"/>
      <c r="M15" s="139">
        <v>14</v>
      </c>
      <c r="N15" s="139" t="s">
        <v>290</v>
      </c>
      <c r="O15" s="140">
        <v>1435458.33</v>
      </c>
    </row>
    <row r="16" spans="1:15" ht="18" x14ac:dyDescent="0.2">
      <c r="A16" s="70"/>
      <c r="B16" s="35"/>
      <c r="C16" s="35"/>
      <c r="D16" s="35"/>
      <c r="E16" s="35"/>
      <c r="F16" s="35"/>
      <c r="M16" s="139">
        <v>15</v>
      </c>
      <c r="N16" s="139" t="s">
        <v>291</v>
      </c>
      <c r="O16" s="140">
        <v>1466607.15</v>
      </c>
    </row>
    <row r="17" spans="1:26" ht="18" x14ac:dyDescent="0.2">
      <c r="A17" s="70" t="s">
        <v>72</v>
      </c>
      <c r="B17" s="35" t="s">
        <v>181</v>
      </c>
      <c r="C17" s="35"/>
      <c r="D17" s="35"/>
      <c r="E17" s="35"/>
      <c r="F17" s="35"/>
      <c r="M17" s="139">
        <v>16</v>
      </c>
      <c r="N17" s="139" t="s">
        <v>292</v>
      </c>
      <c r="O17" s="140">
        <v>1480667.59</v>
      </c>
    </row>
    <row r="18" spans="1:26" ht="18" x14ac:dyDescent="0.2">
      <c r="A18" s="76"/>
      <c r="M18" s="139">
        <v>17</v>
      </c>
      <c r="N18" s="139" t="s">
        <v>293</v>
      </c>
      <c r="O18" s="140">
        <v>1285396.78</v>
      </c>
    </row>
    <row r="19" spans="1:26" ht="18" x14ac:dyDescent="0.2">
      <c r="A19" s="77"/>
      <c r="B19" s="37"/>
      <c r="C19" s="37"/>
      <c r="D19" s="37"/>
      <c r="E19" s="37"/>
      <c r="F19" s="37"/>
      <c r="G19" s="37"/>
      <c r="H19" s="37"/>
      <c r="I19" s="37"/>
      <c r="J19" s="37"/>
      <c r="K19" s="37"/>
      <c r="L19" s="37"/>
      <c r="M19" s="139">
        <v>18</v>
      </c>
      <c r="N19" s="139" t="s">
        <v>294</v>
      </c>
      <c r="O19" s="140">
        <v>1306707.42</v>
      </c>
      <c r="R19" s="37"/>
      <c r="S19" s="37"/>
      <c r="T19" s="37"/>
      <c r="U19" s="37"/>
      <c r="V19" s="37"/>
      <c r="W19" s="37"/>
      <c r="X19" s="37"/>
      <c r="Y19" s="37"/>
      <c r="Z19" s="37"/>
    </row>
    <row r="20" spans="1:26" ht="15.75" customHeight="1" x14ac:dyDescent="0.2">
      <c r="M20" s="139">
        <v>19</v>
      </c>
      <c r="N20" s="139" t="s">
        <v>295</v>
      </c>
      <c r="O20" s="140">
        <v>1211240.0900000001</v>
      </c>
    </row>
    <row r="21" spans="1:26" ht="15.75" customHeight="1" x14ac:dyDescent="0.25">
      <c r="A21" s="99" t="s">
        <v>212</v>
      </c>
      <c r="B21" s="120" t="s">
        <v>14</v>
      </c>
      <c r="C21" s="117"/>
      <c r="D21" s="117"/>
      <c r="M21" s="108"/>
      <c r="N21" s="108"/>
      <c r="O21" s="141">
        <f>AVERAGE(O2:O20)</f>
        <v>1028126.6773684211</v>
      </c>
      <c r="P21" s="137">
        <f>O21*5/100</f>
        <v>51406.333868421054</v>
      </c>
      <c r="Q21" s="137">
        <f>P21*10/100</f>
        <v>5140.6333868421052</v>
      </c>
    </row>
    <row r="22" spans="1:26" ht="18.75" thickBot="1" x14ac:dyDescent="0.25">
      <c r="A22" s="70"/>
      <c r="B22" s="35"/>
      <c r="C22" s="35"/>
      <c r="D22" s="35"/>
      <c r="E22" s="35"/>
      <c r="F22" s="35"/>
      <c r="M22" s="108"/>
      <c r="N22" s="108"/>
      <c r="O22" s="141">
        <f>O21/30</f>
        <v>34270.889245614038</v>
      </c>
    </row>
    <row r="23" spans="1:26" ht="18" x14ac:dyDescent="0.2">
      <c r="A23" s="71" t="s">
        <v>169</v>
      </c>
      <c r="B23" s="121" t="s">
        <v>182</v>
      </c>
      <c r="C23" s="122"/>
      <c r="D23" s="122"/>
      <c r="E23" s="122"/>
      <c r="F23" s="123"/>
      <c r="M23" s="108"/>
      <c r="N23" s="108"/>
      <c r="O23" s="141">
        <f>O22/12</f>
        <v>2855.9074371345032</v>
      </c>
    </row>
    <row r="24" spans="1:26" ht="18" x14ac:dyDescent="0.2">
      <c r="A24" s="72"/>
      <c r="B24" s="48"/>
      <c r="C24" s="35"/>
      <c r="D24" s="35"/>
      <c r="E24" s="35"/>
      <c r="F24" s="50"/>
      <c r="O24" s="136"/>
      <c r="P24" s="137">
        <f>O21*1/100</f>
        <v>10281.26677368421</v>
      </c>
      <c r="Q24" s="137">
        <f>P24/12</f>
        <v>856.77223114035087</v>
      </c>
    </row>
    <row r="25" spans="1:26" ht="18.75" thickBot="1" x14ac:dyDescent="0.25">
      <c r="A25" s="72"/>
      <c r="B25" s="73" t="s">
        <v>172</v>
      </c>
      <c r="C25" s="35" t="s">
        <v>173</v>
      </c>
      <c r="D25" s="104" t="s">
        <v>183</v>
      </c>
      <c r="E25" s="35"/>
      <c r="F25" s="50"/>
    </row>
    <row r="26" spans="1:26" ht="18.75" thickBot="1" x14ac:dyDescent="0.25">
      <c r="A26" s="72"/>
      <c r="B26" s="73"/>
      <c r="C26" s="35" t="s">
        <v>174</v>
      </c>
      <c r="D26" s="104" t="s">
        <v>183</v>
      </c>
      <c r="E26" s="102"/>
      <c r="F26" s="50"/>
    </row>
    <row r="27" spans="1:26" ht="18" x14ac:dyDescent="0.2">
      <c r="A27" s="72"/>
      <c r="B27" s="73"/>
      <c r="C27" s="35" t="s">
        <v>175</v>
      </c>
      <c r="D27" s="102" t="s">
        <v>74</v>
      </c>
      <c r="E27" s="35">
        <v>2855</v>
      </c>
      <c r="F27" s="112" t="s">
        <v>269</v>
      </c>
    </row>
    <row r="28" spans="1:26" ht="30" x14ac:dyDescent="0.2">
      <c r="A28" s="72"/>
      <c r="B28" s="73" t="s">
        <v>176</v>
      </c>
      <c r="C28" s="35" t="s">
        <v>177</v>
      </c>
      <c r="D28" s="35"/>
      <c r="E28" s="35"/>
      <c r="F28" s="50"/>
    </row>
    <row r="29" spans="1:26" ht="18" x14ac:dyDescent="0.2">
      <c r="A29" s="72"/>
      <c r="B29" s="73"/>
      <c r="C29" s="35" t="s">
        <v>178</v>
      </c>
      <c r="D29" s="102"/>
      <c r="E29" s="102"/>
      <c r="F29" s="50"/>
    </row>
    <row r="30" spans="1:26" ht="18" x14ac:dyDescent="0.2">
      <c r="A30" s="72"/>
      <c r="B30" s="48"/>
      <c r="C30" s="35" t="s">
        <v>179</v>
      </c>
      <c r="D30" s="35"/>
      <c r="E30" s="35"/>
      <c r="F30" s="50"/>
    </row>
    <row r="31" spans="1:26" ht="18" x14ac:dyDescent="0.2">
      <c r="A31" s="74"/>
      <c r="B31" s="75"/>
      <c r="C31" s="66" t="s">
        <v>180</v>
      </c>
      <c r="D31" s="104" t="s">
        <v>183</v>
      </c>
      <c r="E31" s="66"/>
      <c r="F31" s="61"/>
    </row>
    <row r="32" spans="1:26" ht="18" x14ac:dyDescent="0.2">
      <c r="A32" s="70"/>
      <c r="B32" s="35"/>
      <c r="C32" s="35"/>
      <c r="D32" s="35"/>
      <c r="E32" s="35">
        <f>SUM(E25:E31)</f>
        <v>2855</v>
      </c>
      <c r="F32" s="35"/>
    </row>
    <row r="33" spans="1:26" ht="18" x14ac:dyDescent="0.2">
      <c r="A33" s="70"/>
      <c r="B33" s="35"/>
      <c r="C33" s="35"/>
      <c r="D33" s="35"/>
      <c r="E33" s="35"/>
      <c r="F33" s="35"/>
    </row>
    <row r="34" spans="1:26" ht="18" x14ac:dyDescent="0.2">
      <c r="A34" s="70"/>
      <c r="B34" s="35"/>
      <c r="C34" s="35"/>
      <c r="D34" s="35"/>
      <c r="E34" s="35"/>
      <c r="F34" s="35"/>
    </row>
    <row r="35" spans="1:26" ht="18" x14ac:dyDescent="0.2">
      <c r="A35" s="70" t="s">
        <v>72</v>
      </c>
      <c r="B35" s="35" t="s">
        <v>184</v>
      </c>
      <c r="C35" s="35"/>
      <c r="D35" s="35"/>
      <c r="E35" s="35"/>
      <c r="F35" s="35"/>
    </row>
    <row r="37" spans="1:26" ht="18" x14ac:dyDescent="0.2">
      <c r="A37" s="7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9" spans="1:26" ht="15.75" customHeight="1" x14ac:dyDescent="0.25">
      <c r="A39" s="99" t="s">
        <v>213</v>
      </c>
      <c r="B39" s="118" t="s">
        <v>16</v>
      </c>
      <c r="C39" s="117"/>
      <c r="D39" s="117"/>
    </row>
    <row r="40" spans="1:26" ht="18.75" thickBot="1" x14ac:dyDescent="0.25">
      <c r="A40" s="70"/>
      <c r="B40" s="35"/>
      <c r="C40" s="35"/>
      <c r="D40" s="35"/>
      <c r="E40" s="35"/>
      <c r="F40" s="35"/>
    </row>
    <row r="41" spans="1:26" ht="18" x14ac:dyDescent="0.2">
      <c r="A41" s="71" t="s">
        <v>169</v>
      </c>
      <c r="B41" s="121" t="s">
        <v>170</v>
      </c>
      <c r="C41" s="122"/>
      <c r="D41" s="122"/>
      <c r="E41" s="122"/>
      <c r="F41" s="123"/>
    </row>
    <row r="42" spans="1:26" ht="18" x14ac:dyDescent="0.2">
      <c r="A42" s="72"/>
      <c r="B42" s="48"/>
      <c r="C42" s="35"/>
      <c r="D42" s="35"/>
      <c r="E42" s="35"/>
      <c r="F42" s="50"/>
    </row>
    <row r="43" spans="1:26" ht="18" x14ac:dyDescent="0.2">
      <c r="A43" s="72"/>
      <c r="B43" s="73" t="s">
        <v>172</v>
      </c>
      <c r="C43" s="35" t="s">
        <v>173</v>
      </c>
      <c r="D43" s="102" t="s">
        <v>74</v>
      </c>
      <c r="E43" s="113">
        <v>1200</v>
      </c>
      <c r="F43" s="112" t="s">
        <v>270</v>
      </c>
    </row>
    <row r="44" spans="1:26" ht="18" x14ac:dyDescent="0.2">
      <c r="A44" s="72"/>
      <c r="B44" s="73"/>
      <c r="C44" s="35" t="s">
        <v>174</v>
      </c>
      <c r="D44" s="35"/>
      <c r="E44" s="35"/>
      <c r="F44" s="50"/>
    </row>
    <row r="45" spans="1:26" ht="18" x14ac:dyDescent="0.2">
      <c r="A45" s="72"/>
      <c r="B45" s="73"/>
      <c r="C45" s="35" t="s">
        <v>175</v>
      </c>
      <c r="D45" s="102" t="s">
        <v>74</v>
      </c>
      <c r="E45" s="113">
        <v>1600</v>
      </c>
      <c r="F45" s="112" t="s">
        <v>270</v>
      </c>
    </row>
    <row r="46" spans="1:26" ht="30" x14ac:dyDescent="0.2">
      <c r="A46" s="72"/>
      <c r="B46" s="73" t="s">
        <v>176</v>
      </c>
      <c r="C46" s="35" t="s">
        <v>177</v>
      </c>
      <c r="D46" s="35"/>
      <c r="E46" s="35"/>
      <c r="F46" s="50"/>
    </row>
    <row r="47" spans="1:26" ht="18" x14ac:dyDescent="0.2">
      <c r="A47" s="72"/>
      <c r="B47" s="73"/>
      <c r="C47" s="35" t="s">
        <v>178</v>
      </c>
      <c r="D47" s="102" t="s">
        <v>230</v>
      </c>
      <c r="E47" s="35"/>
      <c r="F47" s="50"/>
    </row>
    <row r="48" spans="1:26" ht="18" x14ac:dyDescent="0.2">
      <c r="A48" s="72"/>
      <c r="B48" s="48"/>
      <c r="C48" s="35" t="s">
        <v>179</v>
      </c>
      <c r="D48" s="35"/>
      <c r="E48" s="35"/>
      <c r="F48" s="50"/>
    </row>
    <row r="49" spans="1:26" ht="18.75" thickBot="1" x14ac:dyDescent="0.25">
      <c r="A49" s="74"/>
      <c r="B49" s="75"/>
      <c r="C49" s="66" t="s">
        <v>180</v>
      </c>
      <c r="D49" s="66"/>
      <c r="E49" s="66"/>
      <c r="F49" s="61"/>
    </row>
    <row r="50" spans="1:26" ht="18" x14ac:dyDescent="0.2">
      <c r="A50" s="70"/>
      <c r="B50" s="35"/>
      <c r="C50" s="35"/>
      <c r="D50" s="35"/>
      <c r="E50" s="35">
        <f>SUM(E43:E49)</f>
        <v>2800</v>
      </c>
      <c r="F50" s="35"/>
    </row>
    <row r="51" spans="1:26" ht="18" x14ac:dyDescent="0.2">
      <c r="A51" s="70"/>
      <c r="B51" s="35"/>
      <c r="C51" s="35"/>
      <c r="D51" s="35"/>
      <c r="E51" s="35"/>
      <c r="F51" s="35"/>
    </row>
    <row r="52" spans="1:26" ht="18" x14ac:dyDescent="0.2">
      <c r="A52" s="70"/>
      <c r="B52" s="35"/>
      <c r="C52" s="35"/>
      <c r="D52" s="35"/>
      <c r="E52" s="35"/>
      <c r="F52" s="35"/>
    </row>
    <row r="53" spans="1:26" ht="18" x14ac:dyDescent="0.2">
      <c r="A53" s="70" t="s">
        <v>72</v>
      </c>
      <c r="B53" s="35" t="s">
        <v>181</v>
      </c>
      <c r="C53" s="35"/>
      <c r="D53" s="35"/>
      <c r="E53" s="35"/>
      <c r="F53" s="35"/>
    </row>
    <row r="54" spans="1:26" ht="12.75" x14ac:dyDescent="0.2">
      <c r="A54" s="13"/>
      <c r="B54" s="13"/>
      <c r="C54" s="13"/>
      <c r="D54" s="13"/>
      <c r="E54" s="13"/>
      <c r="F54" s="13"/>
      <c r="G54" s="13"/>
      <c r="H54" s="13"/>
      <c r="I54" s="13"/>
      <c r="J54" s="13"/>
    </row>
    <row r="55" spans="1:26" ht="12.75" x14ac:dyDescent="0.2">
      <c r="A55" s="13"/>
      <c r="B55" s="13"/>
      <c r="C55" s="13"/>
      <c r="D55" s="13"/>
      <c r="E55" s="13"/>
      <c r="F55" s="13"/>
      <c r="G55" s="13"/>
      <c r="H55" s="13"/>
      <c r="I55" s="13"/>
      <c r="J55" s="13"/>
    </row>
    <row r="56" spans="1:26" ht="12.75" x14ac:dyDescent="0.2">
      <c r="A56" s="13"/>
      <c r="B56" s="13"/>
      <c r="C56" s="13"/>
      <c r="D56" s="124"/>
      <c r="E56" s="117"/>
      <c r="F56" s="117"/>
      <c r="G56" s="117"/>
      <c r="H56" s="117"/>
      <c r="I56" s="13"/>
      <c r="J56" s="13"/>
    </row>
    <row r="57" spans="1:26" ht="18" x14ac:dyDescent="0.2">
      <c r="A57" s="7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9" spans="1:26" ht="15.75" customHeight="1" x14ac:dyDescent="0.25">
      <c r="A59" s="99" t="s">
        <v>214</v>
      </c>
      <c r="B59" s="118" t="s">
        <v>206</v>
      </c>
      <c r="C59" s="117"/>
      <c r="D59" s="117"/>
    </row>
    <row r="60" spans="1:26" ht="18.75" thickBot="1" x14ac:dyDescent="0.25">
      <c r="A60" s="70"/>
      <c r="B60" s="35"/>
      <c r="C60" s="35"/>
      <c r="D60" s="35"/>
      <c r="E60" s="35"/>
      <c r="F60" s="35"/>
    </row>
    <row r="61" spans="1:26" ht="18" x14ac:dyDescent="0.2">
      <c r="A61" s="71" t="s">
        <v>169</v>
      </c>
      <c r="B61" s="121" t="s">
        <v>170</v>
      </c>
      <c r="C61" s="122"/>
      <c r="D61" s="122"/>
      <c r="E61" s="122"/>
      <c r="F61" s="123"/>
    </row>
    <row r="62" spans="1:26" ht="18" x14ac:dyDescent="0.2">
      <c r="A62" s="72"/>
      <c r="B62" s="48"/>
      <c r="C62" s="35"/>
      <c r="D62" s="35"/>
      <c r="E62" s="35"/>
      <c r="F62" s="50"/>
    </row>
    <row r="63" spans="1:26" ht="18" x14ac:dyDescent="0.2">
      <c r="A63" s="72"/>
      <c r="B63" s="73" t="s">
        <v>172</v>
      </c>
      <c r="C63" s="35" t="s">
        <v>173</v>
      </c>
      <c r="D63" s="102" t="s">
        <v>74</v>
      </c>
      <c r="E63" s="35">
        <v>5140</v>
      </c>
      <c r="F63" s="112" t="s">
        <v>271</v>
      </c>
    </row>
    <row r="64" spans="1:26" ht="18" x14ac:dyDescent="0.2">
      <c r="A64" s="72"/>
      <c r="B64" s="73"/>
      <c r="C64" s="35" t="s">
        <v>174</v>
      </c>
      <c r="E64" s="35"/>
      <c r="F64" s="50"/>
    </row>
    <row r="65" spans="1:26" ht="18" x14ac:dyDescent="0.2">
      <c r="A65" s="72"/>
      <c r="B65" s="73"/>
      <c r="C65" s="35" t="s">
        <v>175</v>
      </c>
      <c r="D65" s="35"/>
      <c r="E65" s="35"/>
      <c r="F65" s="50"/>
    </row>
    <row r="66" spans="1:26" ht="30" x14ac:dyDescent="0.2">
      <c r="A66" s="72"/>
      <c r="B66" s="73" t="s">
        <v>176</v>
      </c>
      <c r="C66" s="35" t="s">
        <v>177</v>
      </c>
      <c r="D66" s="102" t="s">
        <v>230</v>
      </c>
      <c r="E66" s="35"/>
      <c r="F66" s="50"/>
    </row>
    <row r="67" spans="1:26" ht="18" x14ac:dyDescent="0.2">
      <c r="A67" s="72"/>
      <c r="B67" s="73"/>
      <c r="C67" s="35" t="s">
        <v>178</v>
      </c>
      <c r="D67" s="35"/>
      <c r="E67" s="35"/>
      <c r="F67" s="50"/>
    </row>
    <row r="68" spans="1:26" ht="18" x14ac:dyDescent="0.2">
      <c r="A68" s="72"/>
      <c r="B68" s="48"/>
      <c r="C68" s="35" t="s">
        <v>179</v>
      </c>
      <c r="D68" s="35"/>
      <c r="E68" s="35"/>
      <c r="F68" s="50"/>
    </row>
    <row r="69" spans="1:26" ht="18.75" thickBot="1" x14ac:dyDescent="0.25">
      <c r="A69" s="74"/>
      <c r="B69" s="75"/>
      <c r="C69" s="66" t="s">
        <v>180</v>
      </c>
      <c r="D69" s="66"/>
      <c r="E69" s="66"/>
      <c r="F69" s="61"/>
    </row>
    <row r="70" spans="1:26" ht="18" x14ac:dyDescent="0.2">
      <c r="A70" s="70"/>
      <c r="B70" s="35"/>
      <c r="C70" s="35"/>
      <c r="D70" s="35"/>
      <c r="E70" s="35">
        <f>SUM(E63:E69)</f>
        <v>5140</v>
      </c>
      <c r="F70" s="35"/>
    </row>
    <row r="71" spans="1:26" ht="18" x14ac:dyDescent="0.2">
      <c r="A71" s="70"/>
      <c r="B71" s="35"/>
      <c r="C71" s="35"/>
      <c r="D71" s="35"/>
      <c r="E71" s="35"/>
      <c r="F71" s="35"/>
    </row>
    <row r="72" spans="1:26" ht="18" x14ac:dyDescent="0.2">
      <c r="A72" s="70"/>
      <c r="B72" s="35"/>
      <c r="C72" s="35"/>
      <c r="D72" s="35"/>
      <c r="E72" s="35"/>
      <c r="F72" s="35"/>
    </row>
    <row r="73" spans="1:26" ht="18" x14ac:dyDescent="0.2">
      <c r="A73" s="70" t="s">
        <v>72</v>
      </c>
      <c r="B73" s="35" t="s">
        <v>181</v>
      </c>
      <c r="C73" s="35"/>
      <c r="D73" s="35"/>
      <c r="E73" s="35"/>
      <c r="F73" s="35"/>
    </row>
    <row r="76" spans="1:26" ht="18" x14ac:dyDescent="0.2">
      <c r="A76" s="7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8" spans="1:26" ht="15.75" customHeight="1" x14ac:dyDescent="0.25">
      <c r="A78" s="99" t="s">
        <v>215</v>
      </c>
      <c r="B78" s="118" t="s">
        <v>20</v>
      </c>
      <c r="C78" s="117"/>
      <c r="D78" s="117"/>
    </row>
    <row r="79" spans="1:26" ht="18.75" thickBot="1" x14ac:dyDescent="0.25">
      <c r="A79" s="70"/>
      <c r="B79" s="35"/>
      <c r="C79" s="35"/>
      <c r="D79" s="35"/>
      <c r="E79" s="35"/>
      <c r="F79" s="35"/>
    </row>
    <row r="80" spans="1:26" ht="18" x14ac:dyDescent="0.2">
      <c r="A80" s="71" t="s">
        <v>169</v>
      </c>
      <c r="B80" s="121" t="s">
        <v>170</v>
      </c>
      <c r="C80" s="122"/>
      <c r="D80" s="122"/>
      <c r="E80" s="122"/>
      <c r="F80" s="123"/>
    </row>
    <row r="81" spans="1:26" ht="18" x14ac:dyDescent="0.2">
      <c r="A81" s="72"/>
      <c r="B81" s="48"/>
      <c r="C81" s="35"/>
      <c r="D81" s="35"/>
      <c r="E81" s="35"/>
      <c r="F81" s="50"/>
    </row>
    <row r="82" spans="1:26" ht="18" x14ac:dyDescent="0.2">
      <c r="A82" s="72"/>
      <c r="B82" s="73" t="s">
        <v>172</v>
      </c>
      <c r="C82" s="35" t="s">
        <v>173</v>
      </c>
      <c r="D82" s="102" t="s">
        <v>74</v>
      </c>
      <c r="E82" s="35">
        <v>856</v>
      </c>
      <c r="F82" s="112" t="s">
        <v>272</v>
      </c>
      <c r="G82" s="102" t="s">
        <v>273</v>
      </c>
    </row>
    <row r="83" spans="1:26" ht="18" x14ac:dyDescent="0.2">
      <c r="A83" s="72"/>
      <c r="B83" s="73"/>
      <c r="C83" s="35" t="s">
        <v>174</v>
      </c>
      <c r="D83" s="35"/>
      <c r="E83" s="35"/>
      <c r="F83" s="50"/>
      <c r="G83" s="101" t="s">
        <v>274</v>
      </c>
    </row>
    <row r="84" spans="1:26" ht="18" x14ac:dyDescent="0.2">
      <c r="A84" s="72"/>
      <c r="B84" s="73"/>
      <c r="C84" s="35" t="s">
        <v>175</v>
      </c>
      <c r="D84" s="35"/>
      <c r="E84" s="35"/>
      <c r="F84" s="50"/>
    </row>
    <row r="85" spans="1:26" ht="30" x14ac:dyDescent="0.2">
      <c r="A85" s="72"/>
      <c r="B85" s="73" t="s">
        <v>176</v>
      </c>
      <c r="C85" s="35" t="s">
        <v>177</v>
      </c>
      <c r="D85" s="35"/>
      <c r="E85" s="35"/>
      <c r="F85" s="50"/>
    </row>
    <row r="86" spans="1:26" ht="18" x14ac:dyDescent="0.2">
      <c r="A86" s="72"/>
      <c r="B86" s="73"/>
      <c r="C86" s="35" t="s">
        <v>178</v>
      </c>
      <c r="D86" s="35"/>
      <c r="E86" s="35"/>
      <c r="F86" s="50"/>
    </row>
    <row r="87" spans="1:26" ht="18" x14ac:dyDescent="0.2">
      <c r="A87" s="72"/>
      <c r="B87" s="48"/>
      <c r="C87" s="35" t="s">
        <v>179</v>
      </c>
      <c r="D87" s="35" t="s">
        <v>183</v>
      </c>
      <c r="E87" s="35"/>
      <c r="F87" s="50"/>
    </row>
    <row r="88" spans="1:26" ht="18.75" thickBot="1" x14ac:dyDescent="0.25">
      <c r="A88" s="74"/>
      <c r="B88" s="75"/>
      <c r="C88" s="66" t="s">
        <v>180</v>
      </c>
      <c r="D88" s="66" t="s">
        <v>183</v>
      </c>
      <c r="E88" s="66"/>
      <c r="F88" s="61"/>
    </row>
    <row r="89" spans="1:26" ht="18" x14ac:dyDescent="0.2">
      <c r="A89" s="70"/>
      <c r="B89" s="35"/>
      <c r="C89" s="35"/>
      <c r="D89" s="35"/>
      <c r="E89" s="35">
        <f>SUM(E82:E88)</f>
        <v>856</v>
      </c>
      <c r="F89" s="35"/>
    </row>
    <row r="90" spans="1:26" ht="18" x14ac:dyDescent="0.2">
      <c r="A90" s="70"/>
      <c r="B90" s="35"/>
      <c r="C90" s="35"/>
      <c r="D90" s="35"/>
      <c r="E90" s="35"/>
      <c r="F90" s="35"/>
    </row>
    <row r="91" spans="1:26" ht="18" x14ac:dyDescent="0.2">
      <c r="A91" s="70"/>
      <c r="B91" s="35"/>
      <c r="C91" s="35"/>
      <c r="D91" s="35"/>
      <c r="E91" s="35"/>
      <c r="F91" s="35"/>
    </row>
    <row r="92" spans="1:26" ht="18" x14ac:dyDescent="0.2">
      <c r="A92" s="70" t="s">
        <v>72</v>
      </c>
      <c r="B92" s="35" t="s">
        <v>181</v>
      </c>
      <c r="C92" s="35"/>
      <c r="D92" s="35"/>
      <c r="E92" s="35"/>
      <c r="F92" s="35"/>
    </row>
    <row r="96" spans="1:26" ht="18" x14ac:dyDescent="0.2">
      <c r="A96" s="7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8" spans="1:7" ht="15.75" customHeight="1" x14ac:dyDescent="0.25">
      <c r="A98" s="99" t="s">
        <v>216</v>
      </c>
      <c r="B98" s="118" t="s">
        <v>22</v>
      </c>
      <c r="C98" s="117"/>
      <c r="D98" s="117"/>
    </row>
    <row r="99" spans="1:7" ht="18.75" thickBot="1" x14ac:dyDescent="0.25">
      <c r="A99" s="70"/>
      <c r="B99" s="35"/>
      <c r="C99" s="35"/>
      <c r="D99" s="35"/>
      <c r="E99" s="35"/>
      <c r="F99" s="35"/>
    </row>
    <row r="100" spans="1:7" ht="18" x14ac:dyDescent="0.2">
      <c r="A100" s="71" t="s">
        <v>169</v>
      </c>
      <c r="B100" s="121" t="s">
        <v>170</v>
      </c>
      <c r="C100" s="122"/>
      <c r="D100" s="122"/>
      <c r="E100" s="122"/>
      <c r="F100" s="123"/>
    </row>
    <row r="101" spans="1:7" ht="18" x14ac:dyDescent="0.2">
      <c r="A101" s="72"/>
      <c r="B101" s="48"/>
      <c r="C101" s="35"/>
      <c r="D101" s="35"/>
      <c r="E101" s="35"/>
      <c r="F101" s="50"/>
    </row>
    <row r="102" spans="1:7" ht="18" x14ac:dyDescent="0.2">
      <c r="A102" s="72"/>
      <c r="B102" s="73" t="s">
        <v>172</v>
      </c>
      <c r="C102" s="35" t="s">
        <v>173</v>
      </c>
      <c r="D102" s="101" t="s">
        <v>74</v>
      </c>
      <c r="E102">
        <v>800</v>
      </c>
      <c r="F102" s="50"/>
    </row>
    <row r="103" spans="1:7" ht="18" x14ac:dyDescent="0.2">
      <c r="A103" s="72"/>
      <c r="B103" s="73"/>
      <c r="C103" s="35" t="s">
        <v>174</v>
      </c>
      <c r="D103" s="102" t="s">
        <v>74</v>
      </c>
      <c r="E103" s="102"/>
      <c r="F103" s="50"/>
    </row>
    <row r="104" spans="1:7" ht="18" x14ac:dyDescent="0.2">
      <c r="A104" s="72"/>
      <c r="B104" s="73"/>
      <c r="C104" s="35" t="s">
        <v>175</v>
      </c>
      <c r="D104" s="102" t="s">
        <v>74</v>
      </c>
      <c r="E104" s="35">
        <v>300</v>
      </c>
      <c r="F104" s="50"/>
      <c r="G104" s="101" t="s">
        <v>275</v>
      </c>
    </row>
    <row r="105" spans="1:7" ht="30" x14ac:dyDescent="0.2">
      <c r="A105" s="72"/>
      <c r="B105" s="73" t="s">
        <v>176</v>
      </c>
      <c r="C105" s="35" t="s">
        <v>177</v>
      </c>
      <c r="D105" s="35"/>
      <c r="E105" s="35"/>
      <c r="F105" s="50"/>
    </row>
    <row r="106" spans="1:7" ht="18" x14ac:dyDescent="0.2">
      <c r="A106" s="72"/>
      <c r="B106" s="73"/>
      <c r="C106" s="35" t="s">
        <v>178</v>
      </c>
      <c r="D106" s="102" t="s">
        <v>183</v>
      </c>
      <c r="E106" s="35"/>
      <c r="F106" s="50"/>
    </row>
    <row r="107" spans="1:7" ht="18" x14ac:dyDescent="0.2">
      <c r="A107" s="72"/>
      <c r="B107" s="48"/>
      <c r="C107" s="35" t="s">
        <v>179</v>
      </c>
      <c r="D107" s="35"/>
      <c r="E107" s="35"/>
      <c r="F107" s="50"/>
    </row>
    <row r="108" spans="1:7" ht="18.75" thickBot="1" x14ac:dyDescent="0.25">
      <c r="A108" s="74"/>
      <c r="B108" s="75"/>
      <c r="C108" s="66" t="s">
        <v>180</v>
      </c>
      <c r="D108" s="66"/>
      <c r="E108" s="66"/>
      <c r="F108" s="61"/>
    </row>
    <row r="109" spans="1:7" ht="18" x14ac:dyDescent="0.2">
      <c r="A109" s="70"/>
      <c r="B109" s="35"/>
      <c r="C109" s="35"/>
      <c r="D109" s="35"/>
      <c r="E109" s="35"/>
      <c r="F109" s="35"/>
    </row>
    <row r="110" spans="1:7" ht="18" x14ac:dyDescent="0.2">
      <c r="A110" s="70"/>
      <c r="B110" s="35"/>
      <c r="C110" s="35"/>
      <c r="D110" s="35"/>
      <c r="E110" s="35"/>
      <c r="F110" s="35"/>
    </row>
    <row r="111" spans="1:7" ht="18" x14ac:dyDescent="0.2">
      <c r="A111" s="70"/>
      <c r="B111" s="35"/>
      <c r="C111" s="35"/>
      <c r="D111" s="35"/>
      <c r="E111" s="35"/>
      <c r="F111" s="35"/>
    </row>
    <row r="112" spans="1:7" ht="18" x14ac:dyDescent="0.2">
      <c r="A112" s="70" t="s">
        <v>72</v>
      </c>
      <c r="B112" s="35" t="s">
        <v>181</v>
      </c>
      <c r="C112" s="35"/>
      <c r="D112" s="35"/>
      <c r="E112" s="35"/>
      <c r="F112" s="35"/>
    </row>
  </sheetData>
  <mergeCells count="14">
    <mergeCell ref="B3:F3"/>
    <mergeCell ref="B5:F5"/>
    <mergeCell ref="B23:F23"/>
    <mergeCell ref="B41:F41"/>
    <mergeCell ref="M1:O1"/>
    <mergeCell ref="B100:F100"/>
    <mergeCell ref="B21:D21"/>
    <mergeCell ref="B39:D39"/>
    <mergeCell ref="B59:D59"/>
    <mergeCell ref="B78:D78"/>
    <mergeCell ref="B98:D98"/>
    <mergeCell ref="B61:F61"/>
    <mergeCell ref="B80:F80"/>
    <mergeCell ref="D56:H56"/>
  </mergeCell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3:O23"/>
  <sheetViews>
    <sheetView topLeftCell="A3" workbookViewId="0">
      <selection activeCell="E23" sqref="E23"/>
    </sheetView>
  </sheetViews>
  <sheetFormatPr defaultColWidth="12.5703125" defaultRowHeight="15.75" customHeight="1" x14ac:dyDescent="0.2"/>
  <cols>
    <col min="1" max="1" width="39.85546875" customWidth="1"/>
    <col min="3" max="3" width="26.5703125" customWidth="1"/>
  </cols>
  <sheetData>
    <row r="3" spans="1:15" ht="102" customHeight="1" x14ac:dyDescent="0.2">
      <c r="A3" s="135" t="s">
        <v>231</v>
      </c>
      <c r="B3" s="135"/>
      <c r="C3" s="135"/>
    </row>
    <row r="5" spans="1:15" ht="15" x14ac:dyDescent="0.2">
      <c r="A5" s="2" t="s">
        <v>185</v>
      </c>
    </row>
    <row r="7" spans="1:15" ht="15.75" customHeight="1" x14ac:dyDescent="0.25">
      <c r="A7" s="2" t="s">
        <v>186</v>
      </c>
    </row>
    <row r="9" spans="1:15" ht="12.75" x14ac:dyDescent="0.2">
      <c r="A9" s="78"/>
      <c r="B9" s="78"/>
      <c r="C9" s="78"/>
      <c r="D9" s="129" t="s">
        <v>187</v>
      </c>
      <c r="E9" s="130"/>
      <c r="F9" s="130"/>
      <c r="G9" s="130"/>
      <c r="H9" s="130"/>
      <c r="I9" s="131"/>
      <c r="J9" s="132" t="s">
        <v>188</v>
      </c>
      <c r="K9" s="133"/>
      <c r="L9" s="133"/>
      <c r="M9" s="133"/>
      <c r="N9" s="133"/>
      <c r="O9" s="134"/>
    </row>
    <row r="10" spans="1:15" ht="38.25" x14ac:dyDescent="0.2">
      <c r="A10" s="79" t="s">
        <v>189</v>
      </c>
      <c r="B10" s="80" t="s">
        <v>190</v>
      </c>
      <c r="C10" s="81" t="s">
        <v>191</v>
      </c>
      <c r="D10" s="79" t="s">
        <v>192</v>
      </c>
      <c r="E10" s="79" t="s">
        <v>193</v>
      </c>
      <c r="F10" s="79" t="s">
        <v>194</v>
      </c>
      <c r="G10" s="79" t="s">
        <v>195</v>
      </c>
      <c r="H10" s="79" t="s">
        <v>196</v>
      </c>
      <c r="I10" s="79" t="s">
        <v>197</v>
      </c>
      <c r="J10" s="105" t="s">
        <v>192</v>
      </c>
      <c r="K10" s="105" t="s">
        <v>193</v>
      </c>
      <c r="L10" s="105" t="s">
        <v>194</v>
      </c>
      <c r="M10" s="105" t="s">
        <v>195</v>
      </c>
      <c r="N10" s="105" t="s">
        <v>196</v>
      </c>
      <c r="O10" s="105" t="s">
        <v>197</v>
      </c>
    </row>
    <row r="11" spans="1:15" ht="12.75" x14ac:dyDescent="0.2">
      <c r="A11" s="79" t="s">
        <v>198</v>
      </c>
      <c r="B11" s="82">
        <v>5</v>
      </c>
      <c r="C11" s="82">
        <v>0</v>
      </c>
      <c r="D11" s="83">
        <v>4.0999999999999996</v>
      </c>
      <c r="E11" s="83">
        <v>4.0999999999999996</v>
      </c>
      <c r="F11" s="78">
        <v>3.7</v>
      </c>
      <c r="G11" s="78">
        <v>3.3</v>
      </c>
      <c r="H11" s="78">
        <v>2.7</v>
      </c>
      <c r="I11" s="78">
        <v>3.4</v>
      </c>
      <c r="J11" s="106">
        <f t="shared" ref="J11:J13" si="0">(D11-C11)/(B11-C11)</f>
        <v>0.82</v>
      </c>
      <c r="K11" s="106">
        <f t="shared" ref="K11:K13" si="1">(E11-C11)/(B11-C11)</f>
        <v>0.82</v>
      </c>
      <c r="L11" s="106">
        <f t="shared" ref="L11:L13" si="2">(F11-C11)/(B11-C11)</f>
        <v>0.74</v>
      </c>
      <c r="M11" s="106">
        <f t="shared" ref="M11:M13" si="3">(G11-C11)/(B11-C11)</f>
        <v>0.65999999999999992</v>
      </c>
      <c r="N11" s="106">
        <f>(H11-C11)/(D11-C11)</f>
        <v>0.6585365853658538</v>
      </c>
      <c r="O11" s="106">
        <f>(I11-C11)/(B11-C11)</f>
        <v>0.67999999999999994</v>
      </c>
    </row>
    <row r="12" spans="1:15" ht="12.75" x14ac:dyDescent="0.2">
      <c r="A12" s="79" t="s">
        <v>199</v>
      </c>
      <c r="B12" s="82">
        <v>20</v>
      </c>
      <c r="C12" s="82">
        <v>0</v>
      </c>
      <c r="D12" s="83">
        <v>14</v>
      </c>
      <c r="E12" s="83">
        <v>14</v>
      </c>
      <c r="F12" s="78">
        <v>13</v>
      </c>
      <c r="G12" s="78">
        <v>12</v>
      </c>
      <c r="H12" s="78">
        <v>11.3</v>
      </c>
      <c r="I12" s="78">
        <v>15</v>
      </c>
      <c r="J12" s="106">
        <f t="shared" si="0"/>
        <v>0.7</v>
      </c>
      <c r="K12" s="106">
        <f t="shared" si="1"/>
        <v>0.7</v>
      </c>
      <c r="L12" s="106">
        <f t="shared" si="2"/>
        <v>0.65</v>
      </c>
      <c r="M12" s="106">
        <f t="shared" si="3"/>
        <v>0.6</v>
      </c>
      <c r="N12" s="106">
        <f>(H12-C12)/(B12-C12)</f>
        <v>0.56500000000000006</v>
      </c>
      <c r="O12" s="106">
        <f>(I12-C12)/(B12-C12)</f>
        <v>0.75</v>
      </c>
    </row>
    <row r="13" spans="1:15" ht="12.75" x14ac:dyDescent="0.2">
      <c r="A13" s="79" t="s">
        <v>200</v>
      </c>
      <c r="B13" s="82">
        <v>20</v>
      </c>
      <c r="C13" s="82">
        <v>0</v>
      </c>
      <c r="D13" s="83">
        <v>14</v>
      </c>
      <c r="E13" s="83">
        <v>18</v>
      </c>
      <c r="F13" s="78">
        <v>13</v>
      </c>
      <c r="G13" s="78">
        <v>12</v>
      </c>
      <c r="H13" s="78">
        <v>8</v>
      </c>
      <c r="I13" s="78">
        <v>15</v>
      </c>
      <c r="J13" s="106">
        <f t="shared" si="0"/>
        <v>0.7</v>
      </c>
      <c r="K13" s="106">
        <f t="shared" si="1"/>
        <v>0.9</v>
      </c>
      <c r="L13" s="106">
        <f t="shared" si="2"/>
        <v>0.65</v>
      </c>
      <c r="M13" s="106">
        <f t="shared" si="3"/>
        <v>0.6</v>
      </c>
      <c r="N13" s="106">
        <f>(H13-C13)/(B13-C13)</f>
        <v>0.4</v>
      </c>
      <c r="O13" s="106">
        <f>(I13-C13)/(B13-C13)</f>
        <v>0.75</v>
      </c>
    </row>
    <row r="14" spans="1:15" ht="15.75" customHeight="1" x14ac:dyDescent="0.2">
      <c r="A14" s="84" t="s">
        <v>201</v>
      </c>
      <c r="B14" s="82">
        <f>MAX(D14:G14)</f>
        <v>5140</v>
      </c>
      <c r="C14" s="82">
        <v>0</v>
      </c>
      <c r="D14" s="83">
        <v>3746.05</v>
      </c>
      <c r="E14" s="83">
        <v>2855</v>
      </c>
      <c r="F14" s="78">
        <v>2800</v>
      </c>
      <c r="G14" s="78">
        <v>5140</v>
      </c>
      <c r="H14" s="78">
        <v>856</v>
      </c>
      <c r="I14" s="78">
        <v>1100</v>
      </c>
      <c r="J14" s="106">
        <f t="shared" ref="J14:O14" si="4">(D14-$C14)/($B14-$C14)</f>
        <v>0.72880350194552534</v>
      </c>
      <c r="K14" s="106">
        <f t="shared" si="4"/>
        <v>0.55544747081712065</v>
      </c>
      <c r="L14" s="106">
        <f t="shared" si="4"/>
        <v>0.54474708171206221</v>
      </c>
      <c r="M14" s="106">
        <f t="shared" si="4"/>
        <v>1</v>
      </c>
      <c r="N14" s="106">
        <f t="shared" si="4"/>
        <v>0.16653696498054474</v>
      </c>
      <c r="O14" s="106">
        <f t="shared" si="4"/>
        <v>0.2140077821011673</v>
      </c>
    </row>
    <row r="15" spans="1:15" ht="12.75" x14ac:dyDescent="0.2">
      <c r="H15" s="85"/>
      <c r="I15" s="85"/>
      <c r="J15" s="107">
        <f t="shared" ref="J15:O15" si="5">SUM(J11:J14)</f>
        <v>2.948803501945525</v>
      </c>
      <c r="K15" s="107">
        <f t="shared" si="5"/>
        <v>2.9754474708171204</v>
      </c>
      <c r="L15" s="107">
        <f t="shared" si="5"/>
        <v>2.5847470817120621</v>
      </c>
      <c r="M15" s="107">
        <f t="shared" si="5"/>
        <v>2.86</v>
      </c>
      <c r="N15" s="107">
        <f t="shared" si="5"/>
        <v>1.7900735503463985</v>
      </c>
      <c r="O15" s="107">
        <f t="shared" si="5"/>
        <v>2.3940077821011672</v>
      </c>
    </row>
    <row r="17" spans="1:4" ht="15.75" customHeight="1" x14ac:dyDescent="0.2">
      <c r="A17" s="108"/>
      <c r="B17" s="127"/>
      <c r="C17" s="128"/>
      <c r="D17" s="109" t="s">
        <v>232</v>
      </c>
    </row>
    <row r="18" spans="1:4" ht="15.75" customHeight="1" x14ac:dyDescent="0.2">
      <c r="A18" s="110">
        <v>1</v>
      </c>
      <c r="B18" s="125" t="s">
        <v>12</v>
      </c>
      <c r="C18" s="126"/>
      <c r="D18" s="108">
        <v>2</v>
      </c>
    </row>
    <row r="19" spans="1:4" ht="15.75" customHeight="1" x14ac:dyDescent="0.2">
      <c r="A19" s="110">
        <v>2</v>
      </c>
      <c r="B19" s="125" t="s">
        <v>14</v>
      </c>
      <c r="C19" s="126" t="s">
        <v>14</v>
      </c>
      <c r="D19" s="108">
        <v>1</v>
      </c>
    </row>
    <row r="20" spans="1:4" ht="15.75" customHeight="1" x14ac:dyDescent="0.2">
      <c r="A20" s="110">
        <v>3</v>
      </c>
      <c r="B20" s="125" t="s">
        <v>16</v>
      </c>
      <c r="C20" s="126" t="s">
        <v>16</v>
      </c>
      <c r="D20" s="108">
        <v>4</v>
      </c>
    </row>
    <row r="21" spans="1:4" ht="15.75" customHeight="1" x14ac:dyDescent="0.2">
      <c r="A21" s="110">
        <v>4</v>
      </c>
      <c r="B21" s="125" t="s">
        <v>18</v>
      </c>
      <c r="C21" s="126" t="s">
        <v>18</v>
      </c>
      <c r="D21" s="108">
        <v>3</v>
      </c>
    </row>
    <row r="22" spans="1:4" ht="15.75" customHeight="1" x14ac:dyDescent="0.2">
      <c r="A22" s="110">
        <v>5</v>
      </c>
      <c r="B22" s="125" t="s">
        <v>20</v>
      </c>
      <c r="C22" s="126" t="s">
        <v>20</v>
      </c>
      <c r="D22" s="108">
        <v>5</v>
      </c>
    </row>
    <row r="23" spans="1:4" ht="15.75" customHeight="1" x14ac:dyDescent="0.2">
      <c r="A23" s="110">
        <v>6</v>
      </c>
      <c r="B23" s="125" t="s">
        <v>22</v>
      </c>
      <c r="C23" s="126" t="s">
        <v>22</v>
      </c>
      <c r="D23" s="108">
        <v>6</v>
      </c>
    </row>
  </sheetData>
  <mergeCells count="10">
    <mergeCell ref="D9:I9"/>
    <mergeCell ref="J9:O9"/>
    <mergeCell ref="A3:C3"/>
    <mergeCell ref="B18:C18"/>
    <mergeCell ref="B19:C19"/>
    <mergeCell ref="B20:C20"/>
    <mergeCell ref="B21:C21"/>
    <mergeCell ref="B22:C22"/>
    <mergeCell ref="B23:C23"/>
    <mergeCell ref="B17: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vt:lpstr>
      <vt:lpstr>1. Identify Business problems </vt:lpstr>
      <vt:lpstr>2. Feasibility Check</vt:lpstr>
      <vt:lpstr>3. Complexity Rating</vt:lpstr>
      <vt:lpstr>4. Strategic Value</vt:lpstr>
      <vt:lpstr>5. Business Value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Richard Kanagaraj</cp:lastModifiedBy>
  <dcterms:modified xsi:type="dcterms:W3CDTF">2023-07-19T02:16:27Z</dcterms:modified>
</cp:coreProperties>
</file>